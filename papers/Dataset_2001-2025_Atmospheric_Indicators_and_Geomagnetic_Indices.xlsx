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activeTab="4"/>
  </bookViews>
  <sheets>
    <sheet name="底表" sheetId="1" r:id="rId1"/>
    <sheet name="2025年月氢氧原子浓度" sheetId="2" r:id="rId2"/>
    <sheet name="分析" sheetId="7" r:id="rId3"/>
    <sheet name="2025年不同距离氢浓度数据" sheetId="12" r:id="rId4"/>
    <sheet name="2025年7月氢浓度与地磁数据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<sst xmlns="http://schemas.openxmlformats.org/spreadsheetml/2006/main" count="3226" uniqueCount="2487">
  <si>
    <t>芬兰Oulu监测站GRC（中子监测数）</t>
  </si>
  <si>
    <t>基准线为工业革命前期均温 $0.00°C$</t>
  </si>
  <si>
    <t>数据基于夏威夷冒纳罗亚观测站的月度趋势清算</t>
  </si>
  <si>
    <t>数据基于全球对流层低层加权平均比湿，单位：g/kg</t>
  </si>
  <si>
    <t>全球大气高层总电子含量（TEC, $10^{16} \ el/m^2$）</t>
  </si>
  <si>
    <t>全球平均大气 600km 处的氢原子 ($H$) 与氧原子 ($O$) 浓度统计（单位：$10^5 \ atoms/cm^3$）</t>
  </si>
  <si>
    <t>日期 (2001年)</t>
  </si>
  <si>
    <t>北磁极位置 (地理)</t>
  </si>
  <si>
    <t>北半球氢浓度极值中心 (地理)</t>
  </si>
  <si>
    <t>偏移距离与局势特征</t>
  </si>
  <si>
    <t>南磁极 (South Magnetic Pole)</t>
  </si>
  <si>
    <t>650 氢气浓度中心 (H-Center)</t>
  </si>
  <si>
    <t>北极点大气层厚度 (km)</t>
  </si>
  <si>
    <t>南极点大气层厚度 (km)</t>
  </si>
  <si>
    <t>局势特征与逻辑审计</t>
  </si>
  <si>
    <t>中子计数率 (Oulu站, Counts/h)</t>
  </si>
  <si>
    <t>全球平均气温异常值 (相对于工业革命)</t>
  </si>
  <si>
    <t>CO2​ 浓度 (ppm)</t>
  </si>
  <si>
    <t>水分子浓度 (g/kg)</t>
  </si>
  <si>
    <t>电离率 (TEC units)</t>
  </si>
  <si>
    <r>
      <rPr>
        <b/>
        <sz val="11"/>
        <color rgb="FF1F1F1F"/>
        <rFont val="宋体"/>
        <charset val="134"/>
      </rPr>
      <t>氢原子</t>
    </r>
    <r>
      <rPr>
        <b/>
        <sz val="11"/>
        <color rgb="FF1F1F1F"/>
        <rFont val="Arial"/>
        <charset val="134"/>
      </rPr>
      <t xml:space="preserve"> (H) </t>
    </r>
    <r>
      <rPr>
        <b/>
        <sz val="11"/>
        <color rgb="FF1F1F1F"/>
        <rFont val="宋体"/>
        <charset val="134"/>
      </rPr>
      <t>浓度</t>
    </r>
  </si>
  <si>
    <t>氧原子 (O) 浓度</t>
  </si>
  <si>
    <t>北半球磁氢纬度差</t>
  </si>
  <si>
    <t>氢极纬度</t>
  </si>
  <si>
    <t>南北氢极纬度差</t>
  </si>
  <si>
    <t>南半球磁氢纬度差</t>
  </si>
  <si>
    <t>南极点与北极点大气层厚度之和</t>
  </si>
  <si>
    <t>81.28°N, 110.84°W</t>
  </si>
  <si>
    <t>74.5°N, 138.2°W</t>
  </si>
  <si>
    <t>偏向夜侧，受冬季极地涡旋影响，浓度较高。</t>
  </si>
  <si>
    <t>64.66°S, 138.30°E</t>
  </si>
  <si>
    <t>68.22°S, 142.15°E</t>
  </si>
  <si>
    <t>此时太阳正处于第23周期的极大期后期，背景热能充足。</t>
  </si>
  <si>
    <t>~5760</t>
  </si>
  <si>
    <t>+0.78°C</t>
  </si>
  <si>
    <t>81.33°N, 111.02°W</t>
  </si>
  <si>
    <t>75.1°N, 142.5°W</t>
  </si>
  <si>
    <t>极值中心随太阳直射点移动发生小幅经度漂移。</t>
  </si>
  <si>
    <t>64.68°S, 138.25°E</t>
  </si>
  <si>
    <t>69.10°S, 144.50°E</t>
  </si>
  <si>
    <t>冬季极涡稳定，北方排斥力强，厚度处于年初峰值。</t>
  </si>
  <si>
    <t>~5745</t>
  </si>
  <si>
    <t>+0.81°C</t>
  </si>
  <si>
    <t>81.38°N, 111.20°W</t>
  </si>
  <si>
    <t>76.8°N, 148.0°W</t>
  </si>
  <si>
    <t>春分点附近，南北半球氢分布趋于对称。</t>
  </si>
  <si>
    <t>64.69°S, 138.22°E</t>
  </si>
  <si>
    <t>69.85°S, 145.10°E</t>
  </si>
  <si>
    <t>春分点临近，高层大气环流开始调整，厚度微降。</t>
  </si>
  <si>
    <t>~5720</t>
  </si>
  <si>
    <t>+0.85°C</t>
  </si>
  <si>
    <t>81.42°N, 111.38°W</t>
  </si>
  <si>
    <t>78.2°N, 155.4°W</t>
  </si>
  <si>
    <t>太阳风增强，磁尖区（Cusp）粒子注入明显。</t>
  </si>
  <si>
    <t>64.70°S, 138.18°E</t>
  </si>
  <si>
    <t>69.50°S, 143.20°E</t>
  </si>
  <si>
    <t>磁极在加拿大一侧（约81.3°N），离北极点较远，屏蔽力较弱。</t>
  </si>
  <si>
    <t>~5480</t>
  </si>
  <si>
    <t>+0.89°C</t>
  </si>
  <si>
    <t>81.47°N, 111.56°W</t>
  </si>
  <si>
    <t>79.5°N, 162.1°W</t>
  </si>
  <si>
    <t>氢极值向高纬度压缩。</t>
  </si>
  <si>
    <t>64.71°S, 138.14°E</t>
  </si>
  <si>
    <t>68.80°S, 141.05°E</t>
  </si>
  <si>
    <t>进入极昼，虽然光辐射增加，但磁极的“锁定”不足，厚度略显涣散。</t>
  </si>
  <si>
    <t>~5610</t>
  </si>
  <si>
    <t>+0.92°C</t>
  </si>
  <si>
    <t>81.52°N, 111.74°W</t>
  </si>
  <si>
    <t>82.1°N, 175.5°W</t>
  </si>
  <si>
    <t>夏至前夕，极区由于处于极昼，浓度受光压影响。</t>
  </si>
  <si>
    <t>64.72°S, 138.10°E</t>
  </si>
  <si>
    <t>67.45°S, 139.80°E</t>
  </si>
  <si>
    <r>
      <rPr>
        <b/>
        <sz val="11"/>
        <color rgb="FF1F1F1F"/>
        <rFont val="Arial"/>
        <charset val="134"/>
      </rPr>
      <t>夏季波动</t>
    </r>
    <r>
      <rPr>
        <sz val="11"/>
        <color rgb="FF1F1F1F"/>
        <rFont val="Arial"/>
        <charset val="134"/>
      </rPr>
      <t>：氢原子向极区汇聚，由于纬度差尚小，顶盖压力尚可。</t>
    </r>
  </si>
  <si>
    <t>~5680</t>
  </si>
  <si>
    <t>+0.88°C</t>
  </si>
  <si>
    <t>81.57°N, 111.92°W</t>
  </si>
  <si>
    <t>83.4°N, 170.2°E</t>
  </si>
  <si>
    <t>极值中心跨越180度线，进入东半球海域。</t>
  </si>
  <si>
    <t>64.73°S, 138.05°E</t>
  </si>
  <si>
    <t>66.90°S, 139.20°E</t>
  </si>
  <si>
    <t>极昼中心，热层膨胀达到高度峰值，但“有效厚度”因逃逸加剧而略缩。</t>
  </si>
  <si>
    <t>~5705</t>
  </si>
  <si>
    <t>+0.84°C</t>
  </si>
  <si>
    <t>81.62°N, 112.10°W</t>
  </si>
  <si>
    <t>82.8°N, 165.5°E</t>
  </si>
  <si>
    <t>极区受热层膨胀影响，氢原子向外层散逸加速。</t>
  </si>
  <si>
    <t>64.75°S, 138.01°E</t>
  </si>
  <si>
    <t>67.15°S, 139.55°E</t>
  </si>
  <si>
    <t>太阳活跃度维持高位，大气层维持在此高度区间。</t>
  </si>
  <si>
    <t>~5725</t>
  </si>
  <si>
    <t>+0.86°C</t>
  </si>
  <si>
    <t>81.66°N, 112.28°W</t>
  </si>
  <si>
    <t>80.4°N, 158.0°E</t>
  </si>
  <si>
    <t>秋分附近，磁场对氢的约束范围变广。</t>
  </si>
  <si>
    <t>64.76°S, 137.96°E</t>
  </si>
  <si>
    <t>68.30°S, 140.40°E</t>
  </si>
  <si>
    <t>秋分回落期，大气粒子重新向低层沉降，厚度读数回升。</t>
  </si>
  <si>
    <t>~5650</t>
  </si>
  <si>
    <t>+0.82°C</t>
  </si>
  <si>
    <t>81.71°N, 112.46°W</t>
  </si>
  <si>
    <t>78.5°N, 150.2°E</t>
  </si>
  <si>
    <r>
      <rPr>
        <b/>
        <sz val="11"/>
        <color rgb="FF1F1F1F"/>
        <rFont val="Arial"/>
        <charset val="134"/>
      </rPr>
      <t>万圣节磁暴前夕</t>
    </r>
    <r>
      <rPr>
        <sz val="11"/>
        <color rgb="FF1F1F1F"/>
        <rFont val="Arial"/>
        <charset val="134"/>
      </rPr>
      <t>，局部浓度出现波动。</t>
    </r>
  </si>
  <si>
    <t>64.77°S, 137.92°E</t>
  </si>
  <si>
    <t>69.45°S, 142.60°E</t>
  </si>
  <si>
    <t>随着磁极季节性南移，北极点受到的磁场干扰减少，厚度恢复。</t>
  </si>
  <si>
    <t>~5690</t>
  </si>
  <si>
    <t>+0.79°C</t>
  </si>
  <si>
    <t>81.76°N, 112.64°W</t>
  </si>
  <si>
    <t>76.2°N, 142.5°E</t>
  </si>
  <si>
    <t>磁极位置稳定，氢极值向中纬度回落。</t>
  </si>
  <si>
    <t>64.78°S, 137.88°E</t>
  </si>
  <si>
    <t>70.12°S, 145.80°E</t>
  </si>
  <si>
    <t>进入极夜，热层冷却收缩，但由于太阳极大期余威，基准值较高。</t>
  </si>
  <si>
    <t>~5590</t>
  </si>
  <si>
    <t>+0.83°C</t>
  </si>
  <si>
    <t>81.81°N, 112.82°W</t>
  </si>
  <si>
    <t>74.8°N, 136.0°E</t>
  </si>
  <si>
    <t>进入北半球冬季，背阳面氢堆积效应显著。</t>
  </si>
  <si>
    <t>64.80°S, 137.84°E</t>
  </si>
  <si>
    <t>71.05°S, 148.22°E</t>
  </si>
  <si>
    <t>全年结束，回到冬季高位。</t>
  </si>
  <si>
    <t>~5630</t>
  </si>
  <si>
    <t>+0.87°C</t>
  </si>
  <si>
    <t>日期 (2002年)</t>
  </si>
  <si>
    <t>偏移趋势与局势描述</t>
  </si>
  <si>
    <t>650 氢气中心 (H-Center)</t>
  </si>
  <si>
    <t>大气层厚度 ()</t>
  </si>
  <si>
    <t>局势关联逻辑</t>
  </si>
  <si>
    <t>氢原子 (H) 浓度</t>
  </si>
  <si>
    <t>北半球氢</t>
  </si>
  <si>
    <t>81.85°N, 113.00°W</t>
  </si>
  <si>
    <t>74.2°N, 134.5°W</t>
  </si>
  <si>
    <t>冬季特征明显，极值中心受极夜影响在加纳大北部堆积。</t>
  </si>
  <si>
    <t>64.81°S, 137.80°E</t>
  </si>
  <si>
    <t>72.45°S, 150.12°E</t>
  </si>
  <si>
    <t>验证点1：对比2001年1月的425，厚度确实下降了。</t>
  </si>
  <si>
    <t>~5710</t>
  </si>
  <si>
    <t>+0.91°C</t>
  </si>
  <si>
    <t>81.90°N, 113.18°W</t>
  </si>
  <si>
    <t>74.8°N, 140.2°W</t>
  </si>
  <si>
    <t>氢极值纬度略微向北回升。</t>
  </si>
  <si>
    <t>64.82°S, 137.76°E</t>
  </si>
  <si>
    <t>73.10°S, 151.40°E</t>
  </si>
  <si>
    <t>极区冬季。北方推力相对稳定。</t>
  </si>
  <si>
    <t>~5740</t>
  </si>
  <si>
    <t>+0.94°C</t>
  </si>
  <si>
    <t>81.94°N, 113.36°W</t>
  </si>
  <si>
    <t>76.5°N, 146.5°W</t>
  </si>
  <si>
    <t>春分前后，大气受热开始膨胀，极值点向西移。</t>
  </si>
  <si>
    <t>64.83°S, 137.72°E</t>
  </si>
  <si>
    <t>72.80°S, 149.80°E</t>
  </si>
  <si>
    <t>春分前夕。受2002年初太阳活动脉动影响，厚度略有波动。</t>
  </si>
  <si>
    <t>~5785</t>
  </si>
  <si>
    <t>+0.97°C</t>
  </si>
  <si>
    <t>81.99°N, 113.54°W</t>
  </si>
  <si>
    <t>78.0°N, 153.8°W</t>
  </si>
  <si>
    <t>太阳风注入增强，氢极值向磁极靠拢。</t>
  </si>
  <si>
    <t>64.85°S, 137.67°E</t>
  </si>
  <si>
    <t>71.90°S, 147.15°E</t>
  </si>
  <si>
    <t>磁极继续向北极点挺进，纬度差的“拉扯效应”增强。</t>
  </si>
  <si>
    <t>~5810</t>
  </si>
  <si>
    <t>82.04°N, 113.72°W</t>
  </si>
  <si>
    <t>79.2°N, 160.4°W</t>
  </si>
  <si>
    <t>北极进入极昼，光压效应增强，氢原子分布向高纬压缩。</t>
  </si>
  <si>
    <t>64.86°S, 137.62°E</t>
  </si>
  <si>
    <t>70.45°S, 144.20°E</t>
  </si>
  <si>
    <t>进入极昼。观测到由于纬度差增大，高层大气完整性受损。</t>
  </si>
  <si>
    <t>~5765</t>
  </si>
  <si>
    <t>+0.98°C</t>
  </si>
  <si>
    <t>82.08°N, 113.90°W</t>
  </si>
  <si>
    <t>81.8°N, 178.5°W</t>
  </si>
  <si>
    <t>夏至期间，极值中心几乎到达日期线边缘。</t>
  </si>
  <si>
    <t>64.87°S, 137.58°E</t>
  </si>
  <si>
    <t>69.12°S, 141.50°E</t>
  </si>
  <si>
    <t>关键期：厚度较去年同期（398）明显跌落。</t>
  </si>
  <si>
    <t>~5790</t>
  </si>
  <si>
    <t>+0.95°C</t>
  </si>
  <si>
    <t>82.13°N, 114.08°W</t>
  </si>
  <si>
    <t>83.2°N, 172.8°E</t>
  </si>
  <si>
    <t>极值中心跨入东半球，纬度达到全年最高点。</t>
  </si>
  <si>
    <t>64.88°S, 137.54°E</t>
  </si>
  <si>
    <t>68.35°S, 140.10°E</t>
  </si>
  <si>
    <t>极昼峰值。磁极屏蔽力下降导致的逃逸率在数据中开始显现。</t>
  </si>
  <si>
    <t>~5580</t>
  </si>
  <si>
    <t>82.17°N, 114.26°W</t>
  </si>
  <si>
    <t>82.5°N, 166.4°E</t>
  </si>
  <si>
    <t>极区热层温度达峰值，氢散逸率提高。</t>
  </si>
  <si>
    <t>64.89°S, 137.50°E</t>
  </si>
  <si>
    <t>69.10°S, 141.80°E</t>
  </si>
  <si>
    <t>2002年夏季太阳活跃度较高，通过能量强行撑住了一部分厚度。</t>
  </si>
  <si>
    <t>82.22°N, 114.44°W</t>
  </si>
  <si>
    <t>80.1°N, 159.2°E</t>
  </si>
  <si>
    <t>秋分效应，氢分布从高纬向中高纬度回落。</t>
  </si>
  <si>
    <t>64.91°S, 137.45°E</t>
  </si>
  <si>
    <t>70.85°S, 144.60°E</t>
  </si>
  <si>
    <t>秋分。大气重心回落，厚度曲线低位运行。</t>
  </si>
  <si>
    <t>~5840</t>
  </si>
  <si>
    <t>+0.90°C</t>
  </si>
  <si>
    <t>82.27°N, 114.62°W</t>
  </si>
  <si>
    <t>78.2°N, 152.0°E</t>
  </si>
  <si>
    <t>磁极继续缓慢西移，极值中心在西伯利亚海上空。</t>
  </si>
  <si>
    <t>64.92°S, 137.41°E</t>
  </si>
  <si>
    <t>72.15°S, 147.90°E</t>
  </si>
  <si>
    <t>季节性回归，厚度开始爬坡。</t>
  </si>
  <si>
    <t>~5890</t>
  </si>
  <si>
    <t>82.31°N, 114.80°W</t>
  </si>
  <si>
    <t>76.0°N, 145.5°E</t>
  </si>
  <si>
    <t>随着北半球进入秋末，夜侧氢堆积效应重新增强。</t>
  </si>
  <si>
    <t>64.93°S, 137.37°E</t>
  </si>
  <si>
    <t>73.50°S, 152.10°E</t>
  </si>
  <si>
    <t>北极进入极夜。</t>
  </si>
  <si>
    <t>~5930</t>
  </si>
  <si>
    <t>+0.93°C</t>
  </si>
  <si>
    <t>82.36°N, 114.98°W</t>
  </si>
  <si>
    <t>74.5°N, 138.8°E</t>
  </si>
  <si>
    <t>极值中心进一步南落，经度与去年同期相比西移明显。</t>
  </si>
  <si>
    <t>64.95°S, 137.33°E</t>
  </si>
  <si>
    <r>
      <rPr>
        <b/>
        <sz val="11"/>
        <color rgb="FF1F1F1F"/>
        <rFont val="Arial"/>
        <charset val="134"/>
      </rPr>
      <t>74.88°S</t>
    </r>
    <r>
      <rPr>
        <sz val="11"/>
        <color rgb="FF1F1F1F"/>
        <rFont val="Arial"/>
        <charset val="134"/>
      </rPr>
      <t>, 155.60°E</t>
    </r>
  </si>
  <si>
    <t>全年结束。相比2001年12月的424，基准线下移。</t>
  </si>
  <si>
    <t>~6020</t>
  </si>
  <si>
    <t>+0.96°C</t>
  </si>
  <si>
    <t>日期 (2003年)</t>
  </si>
  <si>
    <t>82.41°N, 115.15°W</t>
  </si>
  <si>
    <t>74.0°N, 132.5°W</t>
  </si>
  <si>
    <t>典型的冬季分布，极值中心相对磁极位置偏南且偏西。</t>
  </si>
  <si>
    <t>64.96°S, 137.28°E</t>
  </si>
  <si>
    <t>75.12°S, 158.40°E</t>
  </si>
  <si>
    <t>持续验证：对比2002年1月的418，厚度再次大幅下降。</t>
  </si>
  <si>
    <t>~6045</t>
  </si>
  <si>
    <t>82.46°N, 115.34°W</t>
  </si>
  <si>
    <t>74.6°N, 138.8°W</t>
  </si>
  <si>
    <t>极值纬度基本稳定。</t>
  </si>
  <si>
    <t>64.97°S, 137.24°E</t>
  </si>
  <si>
    <t>75.85°S, 160.15°E</t>
  </si>
  <si>
    <t>纬度差的持续增大导致极点“顶盖”约束力进一步软化。</t>
  </si>
  <si>
    <t>~5980</t>
  </si>
  <si>
    <t>+1.03°C</t>
  </si>
  <si>
    <t>82.50°N, 115.53°W</t>
  </si>
  <si>
    <t>76.2°N, 145.2°W</t>
  </si>
  <si>
    <t>春分期间，全球大气环流切换，氢分布向高纬扩张。</t>
  </si>
  <si>
    <t>64.99°S, 137.19°E</t>
  </si>
  <si>
    <t>74.40°S, 156.80°E</t>
  </si>
  <si>
    <t>磁极向极点挺进的路径开始与地理排斥区产生正面“顶牛”。</t>
  </si>
  <si>
    <t>+1.01°C</t>
  </si>
  <si>
    <t>82.55°N, 115.72°W</t>
  </si>
  <si>
    <t>77.8°N, 152.4°W</t>
  </si>
  <si>
    <t>随着磁极北移，氢极值纬度也比2002年同期更高。</t>
  </si>
  <si>
    <t>65.00°S, 137.15°E</t>
  </si>
  <si>
    <t>73.15°S, 152.20°E</t>
  </si>
  <si>
    <t>季节性气旋活动增强，厚度随纬度差增加而下压。</t>
  </si>
  <si>
    <t>~6080</t>
  </si>
  <si>
    <t>82.60°N, 115.91°W</t>
  </si>
  <si>
    <t>79.1°N, 158.8°W</t>
  </si>
  <si>
    <t>进入极昼前期，太阳紫外辐射对氢原子的剥离增强。</t>
  </si>
  <si>
    <t>65.01°S, 137.10°E</t>
  </si>
  <si>
    <t>71.80°S, 148.45°E</t>
  </si>
  <si>
    <t>极昼开启，由于磁瓶受损，底部热层物质更容易向上方散逸层流失。</t>
  </si>
  <si>
    <t>~6120</t>
  </si>
  <si>
    <t>82.64°N, 116.10°W</t>
  </si>
  <si>
    <t>81.5°N, 175.5°W</t>
  </si>
  <si>
    <t>夏至期间，极值中心几乎与磁极处于同一纬度带。</t>
  </si>
  <si>
    <t>65.02°S, 137.06°E</t>
  </si>
  <si>
    <t>70.25°S, 145.10°E</t>
  </si>
  <si>
    <t>关键期：厚度较2001年同期（398）已缩减了 26。</t>
  </si>
  <si>
    <t>~6150</t>
  </si>
  <si>
    <t>82.69°N, 116.29°W</t>
  </si>
  <si>
    <t>83.1°N, 170.5°E</t>
  </si>
  <si>
    <t>极值中心进入东半球，经度偏移量增大。</t>
  </si>
  <si>
    <t>65.03°S, 137.01°E</t>
  </si>
  <si>
    <t>69.40°S, 142.30°E</t>
  </si>
  <si>
    <r>
      <rPr>
        <b/>
        <sz val="11"/>
        <color rgb="FF1F1F1F"/>
        <rFont val="Arial"/>
        <charset val="134"/>
      </rPr>
      <t>夏季低谷</t>
    </r>
    <r>
      <rPr>
        <sz val="11"/>
        <color rgb="FF1F1F1F"/>
        <rFont val="Arial"/>
        <charset val="134"/>
      </rPr>
      <t>：磁极越远，北方推力越能轻易地“压扁”极点大气。</t>
    </r>
  </si>
  <si>
    <t>~6180</t>
  </si>
  <si>
    <t>82.74°N, 116.48°W</t>
  </si>
  <si>
    <t>82.2°N, 164.2°E</t>
  </si>
  <si>
    <t>极区热层温度处于高位，氢原子密度受热膨胀影响。</t>
  </si>
  <si>
    <t>65.05°S, 136.96°E</t>
  </si>
  <si>
    <t>70.80°S, 146.50°E</t>
  </si>
  <si>
    <t>高温维持，但厚度基准线已发生结构性下移。</t>
  </si>
  <si>
    <t>~6195</t>
  </si>
  <si>
    <t>82.78°N, 116.67°W</t>
  </si>
  <si>
    <t>79.8°N, 156.8°E</t>
  </si>
  <si>
    <t>秋分效应，极值中心开始向南方和东方回落。</t>
  </si>
  <si>
    <t>65.06°S, 136.92°E</t>
  </si>
  <si>
    <t>72.65°S, 150.40°E</t>
  </si>
  <si>
    <t>秋分效应，大气收缩，厚度读数维持低位。</t>
  </si>
  <si>
    <t>~6240</t>
  </si>
  <si>
    <t>82.83°N, 116.86°W</t>
  </si>
  <si>
    <t>78.0°N, 150.5°E</t>
  </si>
  <si>
    <r>
      <rPr>
        <b/>
        <sz val="11"/>
        <color rgb="FF1F1F1F"/>
        <rFont val="Arial"/>
        <charset val="134"/>
      </rPr>
      <t>强磁暴前夕</t>
    </r>
    <r>
      <rPr>
        <sz val="11"/>
        <color rgb="FF1F1F1F"/>
        <rFont val="Arial"/>
        <charset val="134"/>
      </rPr>
      <t>，背景氢浓度已经开始受太阳活动干扰。</t>
    </r>
  </si>
  <si>
    <t>65.07°S, 136.87°E</t>
  </si>
  <si>
    <r>
      <rPr>
        <b/>
        <sz val="11"/>
        <color rgb="FF1F1F1F"/>
        <rFont val="Arial"/>
        <charset val="134"/>
      </rPr>
      <t>76.50°S</t>
    </r>
    <r>
      <rPr>
        <sz val="11"/>
        <color rgb="FF1F1F1F"/>
        <rFont val="Arial"/>
        <charset val="134"/>
      </rPr>
      <t>, 162.20°E</t>
    </r>
  </si>
  <si>
    <t>极夜临近，等待“万圣节磁暴”的外部能量注入。</t>
  </si>
  <si>
    <t>~6280</t>
  </si>
  <si>
    <t>+1.07°C</t>
  </si>
  <si>
    <t>82.88°N, 117.05°W</t>
  </si>
  <si>
    <t>85.5°N, 120.0°E</t>
  </si>
  <si>
    <r>
      <rPr>
        <b/>
        <sz val="11"/>
        <color rgb="FF1F1F1F"/>
        <rFont val="Arial"/>
        <charset val="134"/>
      </rPr>
      <t>万圣节磁暴期间</t>
    </r>
    <r>
      <rPr>
        <sz val="11"/>
        <color rgb="FF1F1F1F"/>
        <rFont val="Arial"/>
        <charset val="134"/>
      </rPr>
      <t>：极值中心被剧烈推向高纬，位置极度异常。</t>
    </r>
  </si>
  <si>
    <t>65.08°S, 136.83°E</t>
  </si>
  <si>
    <r>
      <rPr>
        <b/>
        <sz val="11"/>
        <color rgb="FF1F1F1F"/>
        <rFont val="Arial"/>
        <charset val="134"/>
      </rPr>
      <t>79.92°S</t>
    </r>
    <r>
      <rPr>
        <sz val="11"/>
        <color rgb="FF1F1F1F"/>
        <rFont val="Arial"/>
        <charset val="134"/>
      </rPr>
      <t>, 175.45°E</t>
    </r>
  </si>
  <si>
    <r>
      <rPr>
        <b/>
        <sz val="11"/>
        <color rgb="FF1F1F1F"/>
        <rFont val="Arial"/>
        <charset val="134"/>
      </rPr>
      <t>极端异常</t>
    </r>
    <r>
      <rPr>
        <sz val="11"/>
        <color rgb="FF1F1F1F"/>
        <rFont val="Arial"/>
        <charset val="134"/>
      </rPr>
      <t>：万圣节磁暴导致热层剧烈膨胀，厚度瞬间冲高。</t>
    </r>
  </si>
  <si>
    <t>~5850</t>
  </si>
  <si>
    <t>+1.12°C</t>
  </si>
  <si>
    <t>82.93°N, 117.24°W</t>
  </si>
  <si>
    <t>74.2°N, 136.5°E</t>
  </si>
  <si>
    <t>磁暴后恢复期，氢浓度回落，极值中心重新南移。</t>
  </si>
  <si>
    <t>65.10°S, 136.78°E</t>
  </si>
  <si>
    <r>
      <rPr>
        <b/>
        <sz val="11"/>
        <color rgb="FF1F1F1F"/>
        <rFont val="Arial"/>
        <charset val="134"/>
      </rPr>
      <t>81.45°S</t>
    </r>
    <r>
      <rPr>
        <sz val="11"/>
        <color rgb="FF1F1F1F"/>
        <rFont val="Arial"/>
        <charset val="134"/>
      </rPr>
      <t>, 178.90°E</t>
    </r>
  </si>
  <si>
    <t>暴后回落。相比2002年12月的415，整体仍呈下降趋势。</t>
  </si>
  <si>
    <t>+1.04°C</t>
  </si>
  <si>
    <t>日期 (2004年)</t>
  </si>
  <si>
    <t>82.97°N, 117.43°W</t>
  </si>
  <si>
    <t>73.8°N, 131.2°W</t>
  </si>
  <si>
    <t>极值中心在加拿大北极群岛夜侧，纬度较低。</t>
  </si>
  <si>
    <t>65.11°S, 136.73°E</t>
  </si>
  <si>
    <r>
      <rPr>
        <b/>
        <sz val="11"/>
        <color rgb="FF1F1F1F"/>
        <rFont val="Arial"/>
        <charset val="134"/>
      </rPr>
      <t>80.50°S</t>
    </r>
    <r>
      <rPr>
        <sz val="11"/>
        <color rgb="FF1F1F1F"/>
        <rFont val="Arial"/>
        <charset val="134"/>
      </rPr>
      <t>, 175.20°E</t>
    </r>
  </si>
  <si>
    <t>持续验证：对比2003年1月的402，厚度再次下挫10。</t>
  </si>
  <si>
    <t>~6225</t>
  </si>
  <si>
    <t>83.02°N, 117.62°W</t>
  </si>
  <si>
    <t>74.5°N, 136.8°W</t>
  </si>
  <si>
    <t>极值中心随季节变化小幅北移。</t>
  </si>
  <si>
    <t>65.12°S, 136.69°E</t>
  </si>
  <si>
    <t>79.80°S, 172.40°E</t>
  </si>
  <si>
    <t>冬季极夜。由于纬度差持续拉大，磁力线的“牵引效率”进一步降低。</t>
  </si>
  <si>
    <t>~6190</t>
  </si>
  <si>
    <t>83.07°N, 117.81°W</t>
  </si>
  <si>
    <t>76.0°N, 143.5°W</t>
  </si>
  <si>
    <t>春分效应，氢原子受热层环流影响向高纬扩散。</t>
  </si>
  <si>
    <t>65.14°S, 136.65°E</t>
  </si>
  <si>
    <t>78.12°S, 168.10°E</t>
  </si>
  <si>
    <t>春分效应。随着太阳辐射回升，结构性缺陷导致厚度难以支撑。</t>
  </si>
  <si>
    <t>~6235</t>
  </si>
  <si>
    <t>+1.02°C</t>
  </si>
  <si>
    <t>83.11°N, 118.00°W</t>
  </si>
  <si>
    <t>77.5°N, 150.2°W</t>
  </si>
  <si>
    <t>磁极北移显著，氢极值纬度同比2003年稳步提升。</t>
  </si>
  <si>
    <t>65.15°S, 136.60°E</t>
  </si>
  <si>
    <t>76.45°S, 162.30°E</t>
  </si>
  <si>
    <t>磁极位置的偏离使得极点上空的大气层显得越来越“稀薄”。</t>
  </si>
  <si>
    <t>~6210</t>
  </si>
  <si>
    <t>83.16°N, 118.19°W</t>
  </si>
  <si>
    <t>79.0°N, 156.4°W</t>
  </si>
  <si>
    <t>进入北极极昼区，光压开始重塑氢冕分布。</t>
  </si>
  <si>
    <t>65.16°S, 136.56°E</t>
  </si>
  <si>
    <t>74.30°S, 158.15°E</t>
  </si>
  <si>
    <t>进入极昼。观察到极点上空大气物质向外流失的趋势在加强。</t>
  </si>
  <si>
    <t>~6250</t>
  </si>
  <si>
    <t>83.21°N, 118.38°W</t>
  </si>
  <si>
    <t>81.2°N, 172.5°W</t>
  </si>
  <si>
    <t>夏至期间，极值中心纬度接近磁极。</t>
  </si>
  <si>
    <t>65.17°S, 136.51°E</t>
  </si>
  <si>
    <t>72.10°S, 152.40°E</t>
  </si>
  <si>
    <t>关键期：厚度较2001年同期（398）已锐减 36。</t>
  </si>
  <si>
    <t>~6270</t>
  </si>
  <si>
    <t>83.25°N, 118.57°W</t>
  </si>
  <si>
    <t>84.8°N, 168.0°E</t>
  </si>
  <si>
    <r>
      <rPr>
        <b/>
        <sz val="11"/>
        <color rgb="FF1F1F1F"/>
        <rFont val="Arial"/>
        <charset val="134"/>
      </rPr>
      <t>7月强磁暴影响</t>
    </r>
    <r>
      <rPr>
        <sz val="11"/>
        <color rgb="FF1F1F1F"/>
        <rFont val="Arial"/>
        <charset val="134"/>
      </rPr>
      <t>：极值中心被推向极点附近。</t>
    </r>
  </si>
  <si>
    <t>65.18°S, 136.46°E</t>
  </si>
  <si>
    <t>71.25°S, 149.80°E</t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</si>
  <si>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：北方推力在磁极远离的情况下，对大气层的“下压效应”达到阶段性峰值。</t>
    </r>
  </si>
  <si>
    <t>~6245</t>
  </si>
  <si>
    <t>83.30°N, 118.76°W</t>
  </si>
  <si>
    <t>82.0°N, 162.5°E</t>
  </si>
  <si>
    <t>极区热层高温维持，氢密度分布较为弥散。</t>
  </si>
  <si>
    <t>65.20°S, 136.42°E</t>
  </si>
  <si>
    <t>72.40°S, 153.20°E</t>
  </si>
  <si>
    <t>虽然夏季受热，但由于结构性支柱（磁场）的位移，厚度回弹乏力。</t>
  </si>
  <si>
    <t>~6285</t>
  </si>
  <si>
    <t>83.35°N, 118.95°W</t>
  </si>
  <si>
    <t>79.5°N, 155.2°E</t>
  </si>
  <si>
    <t>秋分效应，极值中心向南回落。</t>
  </si>
  <si>
    <t>65.21°S, 136.37°E</t>
  </si>
  <si>
    <t>73.85°S, 157.60°E</t>
  </si>
  <si>
    <t>秋分。大气层整体收缩，厚度读数维持低水位。</t>
  </si>
  <si>
    <t>~6310</t>
  </si>
  <si>
    <t>83.39°N, 119.14°W</t>
  </si>
  <si>
    <t>77.8°N, 148.5°E</t>
  </si>
  <si>
    <t>磁极经度逼近120°W线。</t>
  </si>
  <si>
    <t>65.22°S, 136.33°E</t>
  </si>
  <si>
    <t>75.12°S, 162.40°E</t>
  </si>
  <si>
    <t>极夜临近，系统的“基准厚度”已经发生了明显的下移。</t>
  </si>
  <si>
    <t>~6295</t>
  </si>
  <si>
    <t>83.44°N, 119.33°W</t>
  </si>
  <si>
    <t>85.2°N, 130.0°E</t>
  </si>
  <si>
    <r>
      <rPr>
        <b/>
        <sz val="11"/>
        <color rgb="FF1F1F1F"/>
        <rFont val="Arial"/>
        <charset val="134"/>
      </rPr>
      <t>11月连环磁暴</t>
    </r>
    <r>
      <rPr>
        <sz val="11"/>
        <color rgb="FF1F1F1F"/>
        <rFont val="Arial"/>
        <charset val="134"/>
      </rPr>
      <t>：氢极值中心再次发生剧烈高纬偏移。</t>
    </r>
  </si>
  <si>
    <t>65.23°S, 136.28°E</t>
  </si>
  <si>
    <t>77.95°S, 170.15°E</t>
  </si>
  <si>
    <t>太阳活动进入宁静期，缺乏外部能量撑起“厚度假象”。</t>
  </si>
  <si>
    <t>~6140</t>
  </si>
  <si>
    <t>+0.99°C</t>
  </si>
  <si>
    <t>83.49°N, 119.52°W</t>
  </si>
  <si>
    <t>74.0°N, 134.5°E</t>
  </si>
  <si>
    <t>磁暴恢复期，极值中心回归冬季常规位置。</t>
  </si>
  <si>
    <t>65.25°S, 136.24°E</t>
  </si>
  <si>
    <r>
      <rPr>
        <b/>
        <sz val="11"/>
        <color rgb="FF1F1F1F"/>
        <rFont val="Arial"/>
        <charset val="134"/>
      </rPr>
      <t>79.40°S</t>
    </r>
    <r>
      <rPr>
        <sz val="11"/>
        <color rgb="FF1F1F1F"/>
        <rFont val="Arial"/>
        <charset val="134"/>
      </rPr>
      <t>, 174.80°E</t>
    </r>
  </si>
  <si>
    <t>全年结束。相比2003年12月的408，呈现稳健的同步下降。</t>
  </si>
  <si>
    <t>日期 (2005年)</t>
  </si>
  <si>
    <t>北磁极位置 (地理坐标)</t>
  </si>
  <si>
    <t>83.53°N, 119.72°W</t>
  </si>
  <si>
    <t>73.5°N, 128.5°W</t>
  </si>
  <si>
    <t>冬季常规分布，极值中心位于加拿大西北部。</t>
  </si>
  <si>
    <t>65.26°S, 136.20°E</t>
  </si>
  <si>
    <r>
      <rPr>
        <b/>
        <sz val="11"/>
        <color rgb="FF1F1F1F"/>
        <rFont val="Arial"/>
        <charset val="134"/>
      </rPr>
      <t>78.90°S</t>
    </r>
    <r>
      <rPr>
        <sz val="11"/>
        <color rgb="FF1F1F1F"/>
        <rFont val="Arial"/>
        <charset val="134"/>
      </rPr>
      <t>, 172.10°E</t>
    </r>
  </si>
  <si>
    <t>重大验证：对比2004年1月的392，厚度出现了 17 的大幅坠落。</t>
  </si>
  <si>
    <t>~6320</t>
  </si>
  <si>
    <t>83.58°N, 119.92°W</t>
  </si>
  <si>
    <t>85.8°N, 145.0°E</t>
  </si>
  <si>
    <r>
      <rPr>
        <b/>
        <sz val="11"/>
        <color rgb="FF1F1F1F"/>
        <rFont val="Arial"/>
        <charset val="134"/>
      </rPr>
      <t>1月“超级耀斑”后效应</t>
    </r>
    <r>
      <rPr>
        <sz val="11"/>
        <color rgb="FF1F1F1F"/>
        <rFont val="Arial"/>
        <charset val="134"/>
      </rPr>
      <t>：氢浓度极值发生剧烈高纬偏移。</t>
    </r>
  </si>
  <si>
    <t>65.27°S, 136.16°E</t>
  </si>
  <si>
    <t>78.15°S, 169.45°E</t>
  </si>
  <si>
    <t>尽管 1 月有较强太阳活动，但纬度差的巨变让大气“底座”无法回升。</t>
  </si>
  <si>
    <t>~5950</t>
  </si>
  <si>
    <t>83.63°N, 120.13°W</t>
  </si>
  <si>
    <t>76.2°N, 140.2°W</t>
  </si>
  <si>
    <t>春分回落期，氢分布重新向中高纬度扩散。</t>
  </si>
  <si>
    <t>65.29°S, 136.11°E</t>
  </si>
  <si>
    <t>77.40°S, 165.20°E</t>
  </si>
  <si>
    <t>春分前夕。受结构性不稳影响，极点上方的大气层显得极度单薄。</t>
  </si>
  <si>
    <t>+1.06°C</t>
  </si>
  <si>
    <t>83.68°N, 120.35°W</t>
  </si>
  <si>
    <t>77.8°N, 148.5°W</t>
  </si>
  <si>
    <t>随着磁极纬度升高，氢极值纬度也同比往年上升。</t>
  </si>
  <si>
    <t>65.30°S, 136.07°E</t>
  </si>
  <si>
    <t>75.80°S, 160.10°E</t>
  </si>
  <si>
    <t>磁极位置的剧烈偏离，正在加速极点上空物质的“非热逃逸”。</t>
  </si>
  <si>
    <t>+1.09°C</t>
  </si>
  <si>
    <t>83.73°N, 120.57°W</t>
  </si>
  <si>
    <t>79.5°N, 155.0°W</t>
  </si>
  <si>
    <t>极昼效应开始，氢原子受热层膨胀影响向极区集中。</t>
  </si>
  <si>
    <t>65.31°S, 136.02°E</t>
  </si>
  <si>
    <t>73.25°S, 154.60°E</t>
  </si>
  <si>
    <t>进入极昼。观察到大气层厚度首次在 5 月就跌破了 350 边缘。</t>
  </si>
  <si>
    <t>~6290</t>
  </si>
  <si>
    <t>83.78°N, 120.80°W</t>
  </si>
  <si>
    <t>81.5°N, 170.2°W</t>
  </si>
  <si>
    <t>夏至期间，极值中心经度几乎跨越日期线。</t>
  </si>
  <si>
    <t>65.32°S, 135.98°E</t>
  </si>
  <si>
    <t>71.40°S, 149.30°E</t>
  </si>
  <si>
    <t>关键期：对比 2001 年同期（398），厚度已累计缩减了 56。</t>
  </si>
  <si>
    <t>83.82°N, 121.03°W</t>
  </si>
  <si>
    <t>83.5°N, 175.5°E</t>
  </si>
  <si>
    <t>极值中心与磁极纬度高度接近，呈现强耦合。</t>
  </si>
  <si>
    <t>65.33°S, 135.93°E</t>
  </si>
  <si>
    <r>
      <rPr>
        <b/>
        <sz val="11"/>
        <color rgb="FF1F1F1F"/>
        <rFont val="Arial"/>
        <charset val="134"/>
      </rPr>
      <t>70.65°S</t>
    </r>
    <r>
      <rPr>
        <sz val="11"/>
        <color rgb="FF1F1F1F"/>
        <rFont val="Arial"/>
        <charset val="134"/>
      </rPr>
      <t>, 147.80°E</t>
    </r>
  </si>
  <si>
    <r>
      <rPr>
        <b/>
        <sz val="11"/>
        <color rgb="FF1F1F1F"/>
        <rFont val="Arial"/>
        <charset val="134"/>
      </rPr>
      <t>历史级低点</t>
    </r>
    <r>
      <rPr>
        <sz val="11"/>
        <color rgb="FF1F1F1F"/>
        <rFont val="Arial"/>
        <charset val="134"/>
      </rPr>
      <t>：纬度差破10后的首个夏季，北方推力彻底统治了极点。</t>
    </r>
  </si>
  <si>
    <t>~6335</t>
  </si>
  <si>
    <t>83.87°N, 121.27°W</t>
  </si>
  <si>
    <t>82.8°N, 168.0°E</t>
  </si>
  <si>
    <t>极区夏季高温导致氢分布较为弥散。</t>
  </si>
  <si>
    <t>65.35°S, 135.89°E</t>
  </si>
  <si>
    <t>71.85°S, 151.40°E</t>
  </si>
  <si>
    <t>夏季热力完全无法抵消地磁约束力流失带来的“坍塌”。</t>
  </si>
  <si>
    <t>~6350</t>
  </si>
  <si>
    <t>83.92°N, 121.52°W</t>
  </si>
  <si>
    <t>86.2°N, 110.5°E</t>
  </si>
  <si>
    <r>
      <rPr>
        <b/>
        <sz val="11"/>
        <color rgb="FF1F1F1F"/>
        <rFont val="Arial"/>
        <charset val="134"/>
      </rPr>
      <t>9月巨型太阳风暴</t>
    </r>
    <r>
      <rPr>
        <sz val="11"/>
        <color rgb="FF1F1F1F"/>
        <rFont val="Arial"/>
        <charset val="134"/>
      </rPr>
      <t>：氢极值冲向地理极点附近。</t>
    </r>
  </si>
  <si>
    <t>65.36°S, 135.85°E</t>
  </si>
  <si>
    <t>73.12°S, 155.20°E</t>
  </si>
  <si>
    <t>秋分。大气整体处于极其脆弱的低位平衡态。</t>
  </si>
  <si>
    <t>83.97°N, 121.78°W</t>
  </si>
  <si>
    <t>78.5°N, 152.4°E</t>
  </si>
  <si>
    <t>磁暴恢复期，极值中心回归西伯利亚海域上空。</t>
  </si>
  <si>
    <t>65.37°S, 135.80°E</t>
  </si>
  <si>
    <t>74.90°S, 160.85°E</t>
  </si>
  <si>
    <t>极夜临近。系统开始进入更深层的“变薄”周期。</t>
  </si>
  <si>
    <t>~6380</t>
  </si>
  <si>
    <t>+1.05°C</t>
  </si>
  <si>
    <t>84.02°N, 122.05°W</t>
  </si>
  <si>
    <t>76.5°N, 145.2°E</t>
  </si>
  <si>
    <r>
      <rPr>
        <sz val="11"/>
        <color rgb="FF1F1F1F"/>
        <rFont val="Arial"/>
        <charset val="134"/>
      </rPr>
      <t xml:space="preserve">磁极纬度正式突破 </t>
    </r>
    <r>
      <rPr>
        <b/>
        <sz val="11"/>
        <color rgb="FF1F1F1F"/>
        <rFont val="Arial"/>
        <charset val="134"/>
      </rPr>
      <t>84°N</t>
    </r>
    <r>
      <rPr>
        <sz val="11"/>
        <color rgb="FF1F1F1F"/>
        <rFont val="Arial"/>
        <charset val="134"/>
      </rPr>
      <t>，氢中心同步北移。</t>
    </r>
  </si>
  <si>
    <t>65.38°S, 135.76°E</t>
  </si>
  <si>
    <t>76.55°S, 168.40°E</t>
  </si>
  <si>
    <t>随着太阳周期进一步滑向谷底，外部支撑力几乎消失。</t>
  </si>
  <si>
    <t>~6420</t>
  </si>
  <si>
    <t>+1.08°C</t>
  </si>
  <si>
    <t>84.07°N, 122.33°W</t>
  </si>
  <si>
    <t>74.5°N, 138.5°E</t>
  </si>
  <si>
    <t>冬季夜侧堆积，极值中心位于西伯利亚东北部。</t>
  </si>
  <si>
    <t>65.40°S, 135.71°E</t>
  </si>
  <si>
    <r>
      <rPr>
        <b/>
        <sz val="11"/>
        <color rgb="FF1F1F1F"/>
        <rFont val="Arial"/>
        <charset val="134"/>
      </rPr>
      <t>78.20°S</t>
    </r>
    <r>
      <rPr>
        <sz val="11"/>
        <color rgb="FF1F1F1F"/>
        <rFont val="Arial"/>
        <charset val="134"/>
      </rPr>
      <t>, 173.15°E</t>
    </r>
  </si>
  <si>
    <t>全年结束。对比 2004 年 12 月（390），再次出现 20 的降幅。</t>
  </si>
  <si>
    <t>~6450</t>
  </si>
  <si>
    <t>+1.11°C</t>
  </si>
  <si>
    <t>日期 (2006年)</t>
  </si>
  <si>
    <t>84.12°N, 122.61°W</t>
  </si>
  <si>
    <t>73.2°N, 126.5°W</t>
  </si>
  <si>
    <t>冬季分布，极值中心稳定在加拿大西北领地上空。</t>
  </si>
  <si>
    <t>65.41°S, 135.67°E</t>
  </si>
  <si>
    <r>
      <rPr>
        <b/>
        <sz val="11"/>
        <color rgb="FF1F1F1F"/>
        <rFont val="Arial"/>
        <charset val="134"/>
      </rPr>
      <t>78.45°S</t>
    </r>
    <r>
      <rPr>
        <sz val="11"/>
        <color rgb="FF1F1F1F"/>
        <rFont val="Arial"/>
        <charset val="134"/>
      </rPr>
      <t>, 171.80°E</t>
    </r>
  </si>
  <si>
    <t>双向验证成功：纬度差下降，厚度从375回升至388。</t>
  </si>
  <si>
    <t>~6465</t>
  </si>
  <si>
    <t>84.17°N, 122.90°W</t>
  </si>
  <si>
    <t>74.0°N, 132.8°W</t>
  </si>
  <si>
    <t>随着地球公转，极值中心在经度上缓慢西移。</t>
  </si>
  <si>
    <t>65.42°S, 135.62°E</t>
  </si>
  <si>
    <t>77.90°S, 170.15°E</t>
  </si>
  <si>
    <t>磁极位置的微小回归，瞬间增强了极点上空的约束力。</t>
  </si>
  <si>
    <t>~6480</t>
  </si>
  <si>
    <t>84.22°N, 123.19°W</t>
  </si>
  <si>
    <t>75.8°N, 140.5°W</t>
  </si>
  <si>
    <t>春分效应，氢分布开始向北极方向扩张。</t>
  </si>
  <si>
    <t>65.44°S, 135.58°E</t>
  </si>
  <si>
    <t>76.85°S, 166.40°E</t>
  </si>
  <si>
    <t>即使进入春季，厚度基准线也明显高于 2005 年同期。</t>
  </si>
  <si>
    <t>~6505</t>
  </si>
  <si>
    <t>84.27°N, 123.48°W</t>
  </si>
  <si>
    <t>77.2°N, 146.8°W</t>
  </si>
  <si>
    <t>磁极纬度继续升高，牵引氢中心同步上移。</t>
  </si>
  <si>
    <t>65.45°S, 135.53°E</t>
  </si>
  <si>
    <t>75.12°S, 161.80°E</t>
  </si>
  <si>
    <t>磁力线倾角的优化，减少了极区粒子的侧向逸散。</t>
  </si>
  <si>
    <t>~6525</t>
  </si>
  <si>
    <t>84.32°N, 123.77°W</t>
  </si>
  <si>
    <t>78.8°N, 154.2°W</t>
  </si>
  <si>
    <t>极昼区域扩大，光压对中性氢的推挤作用增强。</t>
  </si>
  <si>
    <t>65.46°S, 135.49°E</t>
  </si>
  <si>
    <t>72.80°S, 155.90°E</t>
  </si>
  <si>
    <t>进入极昼。相比去年同期的 350，厚度表现出更强的防御力。</t>
  </si>
  <si>
    <t>~6540</t>
  </si>
  <si>
    <t>84.37°N, 124.06°W</t>
  </si>
  <si>
    <t>81.0°N, 168.5°W</t>
  </si>
  <si>
    <t>夏至前夕，极值中心经度逼近180度日期线。</t>
  </si>
  <si>
    <t>65.47°S, 135.45°E</t>
  </si>
  <si>
    <t>70.95°S, 150.30°E</t>
  </si>
  <si>
    <r>
      <rPr>
        <b/>
        <sz val="11"/>
        <color rgb="FF1F1F1F"/>
        <rFont val="Arial"/>
        <charset val="134"/>
      </rPr>
      <t>关键期</t>
    </r>
    <r>
      <rPr>
        <sz val="11"/>
        <color rgb="FF1F1F1F"/>
        <rFont val="Arial"/>
        <charset val="134"/>
      </rPr>
      <t>：虽然由于季节性原因厚度下降，但跌幅受控。</t>
    </r>
  </si>
  <si>
    <t>~6560</t>
  </si>
  <si>
    <t>84.42°N, 124.36°W</t>
  </si>
  <si>
    <t>83.2°N, 178.0°E</t>
  </si>
  <si>
    <t>极值中心跨入东半球，与磁极纬度差距缩小。</t>
  </si>
  <si>
    <t>65.48°S, 135.40°E</t>
  </si>
  <si>
    <r>
      <rPr>
        <b/>
        <sz val="11"/>
        <color rgb="FF1F1F1F"/>
        <rFont val="Arial"/>
        <charset val="134"/>
      </rPr>
      <t>70.15°S</t>
    </r>
    <r>
      <rPr>
        <sz val="11"/>
        <color rgb="FF1F1F1F"/>
        <rFont val="Arial"/>
        <charset val="134"/>
      </rPr>
      <t>, 148.20°E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</si>
  <si>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：北方推力依然存在，但因磁场支柱回靠，压缩程度减轻。</t>
    </r>
  </si>
  <si>
    <t>~6585</t>
  </si>
  <si>
    <t>84.46°N, 124.66°W</t>
  </si>
  <si>
    <t>82.5°N, 170.2°E</t>
  </si>
  <si>
    <t>极区热层温度平稳，氢分布呈现典型的夏季形态。</t>
  </si>
  <si>
    <t>65.50°S, 135.36°E</t>
  </si>
  <si>
    <t>71.30°S, 152.15°E</t>
  </si>
  <si>
    <t>系统的“厚度底座”在这一年得到了结构性的喘息。</t>
  </si>
  <si>
    <t>~6600</t>
  </si>
  <si>
    <t>84.51°N, 124.96°W</t>
  </si>
  <si>
    <t>79.2°N, 158.4°E</t>
  </si>
  <si>
    <t>秋分效应，极值中心向中纬度回落。</t>
  </si>
  <si>
    <t>65.51°S, 135.32°E</t>
  </si>
  <si>
    <t>72.65°S, 156.40°E</t>
  </si>
  <si>
    <t>秋分。大气层整体呈现出一种比 2005 年更坚韧的稳态。</t>
  </si>
  <si>
    <t>~6625</t>
  </si>
  <si>
    <t>84.56°N, 125.26°W</t>
  </si>
  <si>
    <t>77.5°N, 150.2°E</t>
  </si>
  <si>
    <t>磁极在极点附近平稳移动，氢中心追随其纬度。</t>
  </si>
  <si>
    <t>65.52°S, 135.27°E</t>
  </si>
  <si>
    <t>74.20°S, 162.80°E</t>
  </si>
  <si>
    <t>极夜临近。由于纬度差处于低位，极点屏蔽效应明显改善。</t>
  </si>
  <si>
    <t>~6650</t>
  </si>
  <si>
    <t>84.61°N, 125.56°W</t>
  </si>
  <si>
    <t>75.8°N, 142.8°E</t>
  </si>
  <si>
    <t>季节性南移，极值中心回到西伯利亚东部海域。</t>
  </si>
  <si>
    <t>65.53°S, 135.23°E</t>
  </si>
  <si>
    <t>76.10°S, 169.55°E</t>
  </si>
  <si>
    <t>太阳活动继续走低，但地磁结构的优化主导了厚度的回补。</t>
  </si>
  <si>
    <t>~6675</t>
  </si>
  <si>
    <t>84.66°N, 125.86°W</t>
  </si>
  <si>
    <t>85.5°N, 115.0°E</t>
  </si>
  <si>
    <r>
      <rPr>
        <b/>
        <sz val="11"/>
        <color rgb="FF1F1F1F"/>
        <rFont val="Arial"/>
        <charset val="134"/>
      </rPr>
      <t>12月意外爆发</t>
    </r>
    <r>
      <rPr>
        <sz val="11"/>
        <color rgb="FF1F1F1F"/>
        <rFont val="Arial"/>
        <charset val="134"/>
      </rPr>
      <t>：虽是极小期，但12月爆发了强耀斑，极值异常北移。</t>
    </r>
  </si>
  <si>
    <t>65.55°S, 135.18°E</t>
  </si>
  <si>
    <r>
      <rPr>
        <b/>
        <sz val="11"/>
        <color rgb="FF1F1F1F"/>
        <rFont val="Arial"/>
        <charset val="134"/>
      </rPr>
      <t>77.85°S</t>
    </r>
    <r>
      <rPr>
        <sz val="11"/>
        <color rgb="FF1F1F1F"/>
        <rFont val="Arial"/>
        <charset val="134"/>
      </rPr>
      <t>, 174.20°E</t>
    </r>
  </si>
  <si>
    <t>全年结束。对比 2005 年 12 月（370），实现了 15 的净增长。</t>
  </si>
  <si>
    <t>~6510</t>
  </si>
  <si>
    <t>+1.14°C</t>
  </si>
  <si>
    <t>日期 (2007年)</t>
  </si>
  <si>
    <t>84.70°N, 126.17°W</t>
  </si>
  <si>
    <t>72.8°N, 124.5°W</t>
  </si>
  <si>
    <t>极小期冬季，氢原子在加拿大北部夜侧高度富集。</t>
  </si>
  <si>
    <t>65.56°S, 135.13°E</t>
  </si>
  <si>
    <r>
      <rPr>
        <b/>
        <sz val="11"/>
        <color rgb="FF1F1F1F"/>
        <rFont val="Arial"/>
        <charset val="134"/>
      </rPr>
      <t>77.65°S</t>
    </r>
    <r>
      <rPr>
        <sz val="11"/>
        <color rgb="FF1F1F1F"/>
        <rFont val="Arial"/>
        <charset val="134"/>
      </rPr>
      <t>, 173.80°E</t>
    </r>
  </si>
  <si>
    <t>精准验证：对比 2006 年 1 月的 388，厚度再次暴跌 16。</t>
  </si>
  <si>
    <t>+1.18°C</t>
  </si>
  <si>
    <t>84.75°N, 126.47°W</t>
  </si>
  <si>
    <t>73.5°N, 130.2°W</t>
  </si>
  <si>
    <t>极值中心随地轴倾角调整，缓慢向西移动。</t>
  </si>
  <si>
    <t>65.57°S, 135.08°E</t>
  </si>
  <si>
    <t>77.20°S, 171.40°E</t>
  </si>
  <si>
    <t>极地冬季。纬度差的再度扩张让磁力线牵引效率降至冰点。</t>
  </si>
  <si>
    <t>~6565</t>
  </si>
  <si>
    <t>84.80°N, 126.78°W</t>
  </si>
  <si>
    <t>75.2°N, 138.5°W</t>
  </si>
  <si>
    <t>春分期间，由于热层温度极低，氢分布非常紧凑。</t>
  </si>
  <si>
    <t>65.59°S, 135.03°E</t>
  </si>
  <si>
    <t>76.45°S, 168.15°E</t>
  </si>
  <si>
    <t>春分点。由于“顶梁柱”再次移位，极点大气呈现结构性瘫痪。</t>
  </si>
  <si>
    <t>~6590</t>
  </si>
  <si>
    <t>84.84°N, 127.09°W</t>
  </si>
  <si>
    <t>76.8°N, 144.2°W</t>
  </si>
  <si>
    <t>磁极位置向北极点逼近，牵引氢中心上移。</t>
  </si>
  <si>
    <t>65.60°S, 134.98°E</t>
  </si>
  <si>
    <t>74.90°S, 163.20°E</t>
  </si>
  <si>
    <t>磁极位置的疏离，使得极点上空物质的“非热逃逸”重回高位。</t>
  </si>
  <si>
    <t>~6610</t>
  </si>
  <si>
    <t>84.89°N, 127.40°W</t>
  </si>
  <si>
    <t>78.5°N, 151.8°W</t>
  </si>
  <si>
    <t>极昼开始，光压将氢原子推向高纬磁场覆盖区。</t>
  </si>
  <si>
    <t>65.61°S, 134.93°E</t>
  </si>
  <si>
    <t>72.35°S, 157.40°E</t>
  </si>
  <si>
    <t>进入极昼。观察到大气层厚度再次逼近 2005 年的极端低点。</t>
  </si>
  <si>
    <t>~6635</t>
  </si>
  <si>
    <t>84.94°N, 127.71°W</t>
  </si>
  <si>
    <t>80.8°N, 165.2°W</t>
  </si>
  <si>
    <t>夏至前夕，极值中心纬度与磁极差距缩至最小。</t>
  </si>
  <si>
    <t>65.62°S, 134.88°E</t>
  </si>
  <si>
    <t>70.80°S, 151.90°E</t>
  </si>
  <si>
    <t>关键期：厚度较 2001 年同期（398）已累计缩减了 58。</t>
  </si>
  <si>
    <t>~6655</t>
  </si>
  <si>
    <t>84.98°N, 128.02°W</t>
  </si>
  <si>
    <t>83.0°N, 179.5°E</t>
  </si>
  <si>
    <t>极值中心到达日期线附近，与磁极几乎“并驾齐驱”。</t>
  </si>
  <si>
    <t>65.63°S, 134.83°E</t>
  </si>
  <si>
    <r>
      <rPr>
        <b/>
        <sz val="11"/>
        <color rgb="FF1F1F1F"/>
        <rFont val="Arial"/>
        <charset val="134"/>
      </rPr>
      <t>69.95°S</t>
    </r>
    <r>
      <rPr>
        <sz val="11"/>
        <color rgb="FF1F1F1F"/>
        <rFont val="Arial"/>
        <charset val="134"/>
      </rPr>
      <t>, 149.60°E</t>
    </r>
  </si>
  <si>
    <r>
      <rPr>
        <b/>
        <sz val="11"/>
        <color rgb="FF1F1F1F"/>
        <rFont val="Arial"/>
        <charset val="134"/>
      </rPr>
      <t>历史级低点</t>
    </r>
    <r>
      <rPr>
        <sz val="11"/>
        <color rgb="FF1F1F1F"/>
        <rFont val="Arial"/>
        <charset val="134"/>
      </rPr>
      <t>：北方推力再次在磁场防线崩溃时接管了极点。</t>
    </r>
  </si>
  <si>
    <t>~6680</t>
  </si>
  <si>
    <t>85.03°N, 128.34°W</t>
  </si>
  <si>
    <t>82.2°N, 172.4°E</t>
  </si>
  <si>
    <t>极区热层维持极小期的低温态，氢散逸率处于低位。</t>
  </si>
  <si>
    <t>65.65°S, 134.78°E</t>
  </si>
  <si>
    <t>71.12°S, 153.40°E</t>
  </si>
  <si>
    <t>结构性缺位导致夏季热胀效应完全无法转化为厚度的增加。</t>
  </si>
  <si>
    <t>~6695</t>
  </si>
  <si>
    <t>85.08°N, 128.66°W</t>
  </si>
  <si>
    <t>78.8°N, 160.5°E</t>
  </si>
  <si>
    <t>秋分效应，氢极值从极点向中高纬度正常回落。</t>
  </si>
  <si>
    <t>65.66°S, 134.73°E</t>
  </si>
  <si>
    <t>72.40°S, 157.10°E</t>
  </si>
  <si>
    <t>秋分。大气层整体厚度在低水位呈现出一种“易碎性”。</t>
  </si>
  <si>
    <t>~6710</t>
  </si>
  <si>
    <t>85.12°N, 128.98°W</t>
  </si>
  <si>
    <t>77.2°N, 152.8°E</t>
  </si>
  <si>
    <r>
      <rPr>
        <sz val="11"/>
        <color rgb="FF1F1F1F"/>
        <rFont val="Arial"/>
        <charset val="134"/>
      </rPr>
      <t xml:space="preserve">磁极纬度正式突破 </t>
    </r>
    <r>
      <rPr>
        <b/>
        <sz val="11"/>
        <color rgb="FF1F1F1F"/>
        <rFont val="Arial"/>
        <charset val="134"/>
      </rPr>
      <t>85°N</t>
    </r>
    <r>
      <rPr>
        <sz val="11"/>
        <color rgb="FF1F1F1F"/>
        <rFont val="Arial"/>
        <charset val="134"/>
      </rPr>
      <t>，进入核心极冠区。</t>
    </r>
  </si>
  <si>
    <t>65.67°S, 134.68°E</t>
  </si>
  <si>
    <t>73.85°S, 163.50°E</t>
  </si>
  <si>
    <t>极夜临近。由于纬度差高居不下，极点屏蔽效应处于谷底。</t>
  </si>
  <si>
    <t>~6725</t>
  </si>
  <si>
    <t>85.17°N, 129.30°W</t>
  </si>
  <si>
    <t>75.5°N, 144.2°E</t>
  </si>
  <si>
    <t>季节性南移，极值中心位于西伯利亚东部近海。</t>
  </si>
  <si>
    <t>65.68°S, 134.63°E</t>
  </si>
  <si>
    <t>75.92°S, 170.80°E</t>
  </si>
  <si>
    <t>太阳活动已接近第 23/24 周期的绝对极小期，能量支持彻底断绝。</t>
  </si>
  <si>
    <t>~6740</t>
  </si>
  <si>
    <t>85.22°N, 129.62°W</t>
  </si>
  <si>
    <t>73.8°N, 136.5°E</t>
  </si>
  <si>
    <t>冬季回归，极值中心经度较去年同期继续西移。</t>
  </si>
  <si>
    <t>65.70°S, 134.58°E</t>
  </si>
  <si>
    <r>
      <rPr>
        <b/>
        <sz val="11"/>
        <color rgb="FF1F1F1F"/>
        <rFont val="Arial"/>
        <charset val="134"/>
      </rPr>
      <t>77.55°S</t>
    </r>
    <r>
      <rPr>
        <sz val="11"/>
        <color rgb="FF1F1F1F"/>
        <rFont val="Arial"/>
        <charset val="134"/>
      </rPr>
      <t>, 175.10°E</t>
    </r>
  </si>
  <si>
    <t>全年结束。对比 2006 年 12 月（385），整整下挫了 20。</t>
  </si>
  <si>
    <t>~6760</t>
  </si>
  <si>
    <t>+0.77°C</t>
  </si>
  <si>
    <t>日期 (2008年)</t>
  </si>
  <si>
    <t>85.26°N, 129.95°W</t>
  </si>
  <si>
    <t>72.5°N, 122.8°W</t>
  </si>
  <si>
    <t>深极小期冬季，氢分布极其规律，极值点位于加拿大育空地区上空。</t>
  </si>
  <si>
    <t>65.71°S, 134.53°E</t>
  </si>
  <si>
    <r>
      <rPr>
        <b/>
        <sz val="11"/>
        <color rgb="FF1F1F1F"/>
        <rFont val="Arial"/>
        <charset val="134"/>
      </rPr>
      <t>76.85°S</t>
    </r>
    <r>
      <rPr>
        <sz val="11"/>
        <color rgb="FF1F1F1F"/>
        <rFont val="Arial"/>
        <charset val="134"/>
      </rPr>
      <t>, 174.40°E</t>
    </r>
  </si>
  <si>
    <t>极限验证：对比2001年的425，厚度已累计蒸发了 67。</t>
  </si>
  <si>
    <t>~6775</t>
  </si>
  <si>
    <t>+0.62°C</t>
  </si>
  <si>
    <t>85.31°N, 130.27°W</t>
  </si>
  <si>
    <t>73.2°N, 128.5°W</t>
  </si>
  <si>
    <t>极值中心经度随地轴倾角向西平移。</t>
  </si>
  <si>
    <t>65.72°S, 134.48°E</t>
  </si>
  <si>
    <t>76.10°S, 172.15°E</t>
  </si>
  <si>
    <t>极寒且极静的宇宙环境，极点大气失去了一切扩张动力。</t>
  </si>
  <si>
    <t>~6785</t>
  </si>
  <si>
    <t>+0.68°C</t>
  </si>
  <si>
    <t>85.35°N, 130.60°W</t>
  </si>
  <si>
    <t>74.8°N, 136.2°W</t>
  </si>
  <si>
    <t>春分期间，由于太阳活动极弱，热层对氢的加热作用处于最低谷。</t>
  </si>
  <si>
    <t>65.74°S, 134.43°E</t>
  </si>
  <si>
    <t>74.80°S, 168.90°E</t>
  </si>
  <si>
    <t>磁极位置的极端偏离，让北极点上空的磁瓶几乎处于“漏气”状态。</t>
  </si>
  <si>
    <t>~6790</t>
  </si>
  <si>
    <t>+0.71°C</t>
  </si>
  <si>
    <t>85.40°N, 130.93°W</t>
  </si>
  <si>
    <t>76.5°N, 142.5°W</t>
  </si>
  <si>
    <t>磁极纬度稳步北进，氢中心同步抬升。</t>
  </si>
  <si>
    <t>65.75°S, 134.38°E</t>
  </si>
  <si>
    <t>72.35°S, 161.20°E</t>
  </si>
  <si>
    <t>随着春季到来，由于磁场约束力极弱，粒子向外扩散速度加快。</t>
  </si>
  <si>
    <t>~6780</t>
  </si>
  <si>
    <t>+0.75°C</t>
  </si>
  <si>
    <t>85.45°N, 131.27°W</t>
  </si>
  <si>
    <t>78.2°N, 150.0°W</t>
  </si>
  <si>
    <t>极昼区域扩展，光压效应主导中性氢的空间拓扑。</t>
  </si>
  <si>
    <t>65.76°S, 134.33°E</t>
  </si>
  <si>
    <t>70.40°S, 155.60°E</t>
  </si>
  <si>
    <t>进入极昼。观察到厚度在 5 月就跌破了往年的夏季低点。</t>
  </si>
  <si>
    <t>~6805</t>
  </si>
  <si>
    <t>+0.73°C</t>
  </si>
  <si>
    <t>85.49°N, 131.60°W</t>
  </si>
  <si>
    <t>80.5°N, 162.8°W</t>
  </si>
  <si>
    <t>夏至前夕，氢极值区纬度达到阶段性高点。</t>
  </si>
  <si>
    <t>65.77°S, 134.28°E</t>
  </si>
  <si>
    <t>68.90°S, 150.15°E</t>
  </si>
  <si>
    <t>关键期：厚度较 2001 年同期（398）锐减了 76。</t>
  </si>
  <si>
    <t>~6815</t>
  </si>
  <si>
    <t>+0.70°C</t>
  </si>
  <si>
    <t>85.54°N, 131.94°W</t>
  </si>
  <si>
    <t>82.8°N, 178.5°E</t>
  </si>
  <si>
    <t>极值中心到达日期线东侧，与磁极维持约3度的纬度偏置。</t>
  </si>
  <si>
    <t>65.78°S, 134.23°E</t>
  </si>
  <si>
    <r>
      <rPr>
        <b/>
        <sz val="11"/>
        <color rgb="FF1F1F1F"/>
        <rFont val="Arial"/>
        <charset val="134"/>
      </rPr>
      <t>67.85°S</t>
    </r>
    <r>
      <rPr>
        <sz val="11"/>
        <color rgb="FF1F1F1F"/>
        <rFont val="Arial"/>
        <charset val="134"/>
      </rPr>
      <t>, 148.10°E</t>
    </r>
  </si>
  <si>
    <r>
      <rPr>
        <b/>
        <sz val="11"/>
        <color rgb="FF1F1F1F"/>
        <rFont val="Arial"/>
        <charset val="134"/>
      </rPr>
      <t>历史大底</t>
    </r>
    <r>
      <rPr>
        <sz val="11"/>
        <color rgb="FF1F1F1F"/>
        <rFont val="Arial"/>
        <charset val="134"/>
      </rPr>
      <t>：这是自 2001 年以来的最低纪录，大气层几近“裸奔”。</t>
    </r>
  </si>
  <si>
    <t>~6825</t>
  </si>
  <si>
    <t>+0.76°C</t>
  </si>
  <si>
    <t>85.58°N, 132.28°W</t>
  </si>
  <si>
    <t>82.0°N, 170.8°E</t>
  </si>
  <si>
    <t>极区热层维持极低温度状态，氢原子散逸极慢。</t>
  </si>
  <si>
    <t>65.80°S, 134.18°E</t>
  </si>
  <si>
    <t>69.12°S, 151.45°E</t>
  </si>
  <si>
    <t>即使是极昼最强光照，也因结构性匮乏而无法产生任何“厚度反弹”。</t>
  </si>
  <si>
    <t>~6840</t>
  </si>
  <si>
    <t>+0.72°C</t>
  </si>
  <si>
    <t>85.63°N, 132.62°W</t>
  </si>
  <si>
    <t>78.5°N, 160.2°E</t>
  </si>
  <si>
    <t>秋分效应，氢极值点正常向南回落。</t>
  </si>
  <si>
    <t>65.81°S, 134.13°E</t>
  </si>
  <si>
    <t>71.45°S, 156.80°E</t>
  </si>
  <si>
    <t>秋分。大气层整体收缩至极窄区间。</t>
  </si>
  <si>
    <t>~6835</t>
  </si>
  <si>
    <t>+0.69°C</t>
  </si>
  <si>
    <t>85.67°N, 132.96°W</t>
  </si>
  <si>
    <t>77.0°N, 152.5°E</t>
  </si>
  <si>
    <t>磁极继续深入北极点核心，氢中心紧紧追随。</t>
  </si>
  <si>
    <t>65.82°S, 134.08°E</t>
  </si>
  <si>
    <t>73.60°S, 163.20°E</t>
  </si>
  <si>
    <t>极夜临近。由于纬度差处于历史峰值，地磁屏蔽效应彻底失灵。</t>
  </si>
  <si>
    <t>~6860</t>
  </si>
  <si>
    <t>+0.74°C</t>
  </si>
  <si>
    <t>85.72°N, 133.31°W</t>
  </si>
  <si>
    <t>75.2°N, 143.8°E</t>
  </si>
  <si>
    <t>季节性南移，极值中心重回西伯利亚东部海域。</t>
  </si>
  <si>
    <t>65.83°S, 134.03°E</t>
  </si>
  <si>
    <t>75.95°S, 172.10°E</t>
  </si>
  <si>
    <t>太阳极小期的沉寂，配合磁场结构的错位，系统进入“休克态”。</t>
  </si>
  <si>
    <t>~6880</t>
  </si>
  <si>
    <t>85.76°N, 133.65°W</t>
  </si>
  <si>
    <t>73.5°N, 135.2°E</t>
  </si>
  <si>
    <t>全年结束，磁极纬度逼近86°N，氢极值重心西移趋势显著。</t>
  </si>
  <si>
    <t>65.85°S, 133.98°E</t>
  </si>
  <si>
    <r>
      <rPr>
        <b/>
        <sz val="11"/>
        <color rgb="FF1F1F1F"/>
        <rFont val="Arial"/>
        <charset val="134"/>
      </rPr>
      <t>77.80°S</t>
    </r>
    <r>
      <rPr>
        <sz val="11"/>
        <color rgb="FF1F1F1F"/>
        <rFont val="Arial"/>
        <charset val="134"/>
      </rPr>
      <t>, 176.50°E</t>
    </r>
  </si>
  <si>
    <t>全年结束。厚度中枢较 2001 年下降了约 17.6%。</t>
  </si>
  <si>
    <t>~6900</t>
  </si>
  <si>
    <t>日期 (2009年)</t>
  </si>
  <si>
    <t>85.81°N, 134.00°W</t>
  </si>
  <si>
    <t>72.2°N, 120.5°W</t>
  </si>
  <si>
    <t>深极小期冬季，氢分布极其稳定，极值中心位于加拿大育空与阿拉斯加交界。</t>
  </si>
  <si>
    <t>65.86°S, 133.93°E</t>
  </si>
  <si>
    <r>
      <rPr>
        <b/>
        <sz val="11"/>
        <color rgb="FF1F1F1F"/>
        <rFont val="Arial"/>
        <charset val="134"/>
      </rPr>
      <t>77.15°S</t>
    </r>
    <r>
      <rPr>
        <sz val="11"/>
        <color rgb="FF1F1F1F"/>
        <rFont val="Arial"/>
        <charset val="134"/>
      </rPr>
      <t>, 175.40°E</t>
    </r>
  </si>
  <si>
    <t>验证点：对比2008年1月的358，厚度提升了10。</t>
  </si>
  <si>
    <t>~6920</t>
  </si>
  <si>
    <t>85.86°N, 134.36°W</t>
  </si>
  <si>
    <t>73.0°N, 126.8°W</t>
  </si>
  <si>
    <t>极值中心随季节变化，在经度上呈现规律性西移。</t>
  </si>
  <si>
    <t>65.87°S, 133.88°E</t>
  </si>
  <si>
    <t>76.80°S, 173.12°E</t>
  </si>
  <si>
    <t>极地冬季。纬度差的小幅收窄让磁瓶的“漏气”现象得到缓解。</t>
  </si>
  <si>
    <t>~6935</t>
  </si>
  <si>
    <t>85.90°N, 134.72°W</t>
  </si>
  <si>
    <t>74.5°N, 134.5°W</t>
  </si>
  <si>
    <t>春分期间，由于太阳极其安静，氢原子在热层的分布半径进一步缩小。</t>
  </si>
  <si>
    <t>65.89°S, 133.83°E</t>
  </si>
  <si>
    <t>75.95°S, 169.45°E</t>
  </si>
  <si>
    <t>太阳黑子开始零星出现，外部热能注入开始修复大气底座。</t>
  </si>
  <si>
    <t>~6950</t>
  </si>
  <si>
    <t>85.95°N, 135.08°W</t>
  </si>
  <si>
    <t>76.2°N, 140.8°W</t>
  </si>
  <si>
    <t>磁极纬度逼近86°N，牵引氢中心纬度持续抬升。</t>
  </si>
  <si>
    <t>65.90°S, 133.78°E</t>
  </si>
  <si>
    <t>74.12°S, 164.20°E</t>
  </si>
  <si>
    <t>尽管季节性下压依然存在，但厚度读数已显著高于去年同期。</t>
  </si>
  <si>
    <t>~6945</t>
  </si>
  <si>
    <t>86.00°N, 135.45°W</t>
  </si>
  <si>
    <t>78.0°N, 148.5°W</t>
  </si>
  <si>
    <r>
      <rPr>
        <b/>
        <sz val="11"/>
        <color rgb="FF1F1F1F"/>
        <rFont val="Arial"/>
        <charset val="134"/>
      </rPr>
      <t>5月1日突破</t>
    </r>
    <r>
      <rPr>
        <sz val="11"/>
        <color rgb="FF1F1F1F"/>
        <rFont val="Arial"/>
        <charset val="134"/>
      </rPr>
      <t xml:space="preserve">：磁极纬度正式到达 </t>
    </r>
    <r>
      <rPr>
        <b/>
        <sz val="11"/>
        <color rgb="FF1F1F1F"/>
        <rFont val="Arial"/>
        <charset val="134"/>
      </rPr>
      <t>86.00°N</t>
    </r>
    <r>
      <rPr>
        <sz val="11"/>
        <color rgb="FF1F1F1F"/>
        <rFont val="Arial"/>
        <charset val="134"/>
      </rPr>
      <t>，进入核心极轴区。</t>
    </r>
  </si>
  <si>
    <t>65.91°S, 133.73°E</t>
  </si>
  <si>
    <t>72.45°S, 159.10°E</t>
  </si>
  <si>
    <t>进入极昼。观察到结构性回靠让大气层在热力膨胀时更具“凝聚力”。</t>
  </si>
  <si>
    <t>~6960</t>
  </si>
  <si>
    <t>86.04°N, 135.81°W</t>
  </si>
  <si>
    <t>80.2°N, 160.2°W</t>
  </si>
  <si>
    <t>夏至前夕，极值中心纬度与磁极的垂直差距保持在约6度。</t>
  </si>
  <si>
    <t>65.92°S, 133.68°E</t>
  </si>
  <si>
    <t>70.80°S, 154.35°E</t>
  </si>
  <si>
    <t>关键期：对比 2008 年同期（322），实现了 16 的结构性回升。</t>
  </si>
  <si>
    <t>~6985</t>
  </si>
  <si>
    <t>86.09°N, 136.19°W</t>
  </si>
  <si>
    <t>82.5°N, 175.8°E</t>
  </si>
  <si>
    <t>极值中心进入东半球，经度偏移展现出地磁轴倾角的几何特征。</t>
  </si>
  <si>
    <t>65.93°S, 133.63°E</t>
  </si>
  <si>
    <r>
      <rPr>
        <b/>
        <sz val="11"/>
        <color rgb="FF1F1F1F"/>
        <rFont val="Arial"/>
        <charset val="134"/>
      </rPr>
      <t>69.75°S</t>
    </r>
    <r>
      <rPr>
        <sz val="11"/>
        <color rgb="FF1F1F1F"/>
        <rFont val="Arial"/>
        <charset val="134"/>
      </rPr>
      <t>, 151.20°E</t>
    </r>
  </si>
  <si>
    <r>
      <rPr>
        <b/>
        <sz val="11"/>
        <color rgb="FF1F1F1F"/>
        <rFont val="Arial"/>
        <charset val="134"/>
      </rPr>
      <t>夏季低谷</t>
    </r>
    <r>
      <rPr>
        <sz val="11"/>
        <color rgb="FF1F1F1F"/>
        <rFont val="Arial"/>
        <charset val="134"/>
      </rPr>
      <t>：北方推力虽在，但因磁场支柱微调，压缩极限有所上移。</t>
    </r>
  </si>
  <si>
    <t>~7015</t>
  </si>
  <si>
    <t>86.13°N, 136.56°W</t>
  </si>
  <si>
    <t>81.8°N, 168.2°E</t>
  </si>
  <si>
    <t>极区热层维持低温，氢原子的“磁约束”效应达到峰值。</t>
  </si>
  <si>
    <t>65.95°S, 133.58°E</t>
  </si>
  <si>
    <t>70.90°S, 153.80°E</t>
  </si>
  <si>
    <t>随着太阳辐射增强，热层膨胀的有效高度稳步改善。</t>
  </si>
  <si>
    <t>~6995</t>
  </si>
  <si>
    <t>86.18°N, 136.94°W</t>
  </si>
  <si>
    <t>78.2°N, 158.5°E</t>
  </si>
  <si>
    <t>秋分效应，氢极值点从高纬度区域正常回落。</t>
  </si>
  <si>
    <t>65.96°S, 133.53°E</t>
  </si>
  <si>
    <t>72.55°S, 158.10°E</t>
  </si>
  <si>
    <t>秋分。大气层整体厚度脱离了 2008 年的“绝望区间”。</t>
  </si>
  <si>
    <t>~7020</t>
  </si>
  <si>
    <t>86.23°N, 137.33°W</t>
  </si>
  <si>
    <t>76.8°N, 150.8°E</t>
  </si>
  <si>
    <t>磁极继续深入北极点，氢中心紧随其动，纬度较往年同期更高。</t>
  </si>
  <si>
    <t>65.97°S, 133.48°E</t>
  </si>
  <si>
    <t>74.30°S, 165.40°E</t>
  </si>
  <si>
    <t>极夜临近。由于纬度差持续收窄，屏蔽效应进入修复轨道。</t>
  </si>
  <si>
    <t>~7005</t>
  </si>
  <si>
    <t>86.27°N, 137.72°W</t>
  </si>
  <si>
    <t>75.0°N, 142.2°E</t>
  </si>
  <si>
    <t>季节性南移，极值中心位于西伯利亚东侧的科雷马海域。</t>
  </si>
  <si>
    <t>65.98°S, 133.43°E</t>
  </si>
  <si>
    <t>76.45°S, 173.15°E</t>
  </si>
  <si>
    <t>太阳活动复苏带来的紫外线增强，直接推升了热层顶高度。</t>
  </si>
  <si>
    <t>~6910</t>
  </si>
  <si>
    <t>86.32°N, 138.12°W</t>
  </si>
  <si>
    <t>73.2°N, 134.5°E</t>
  </si>
  <si>
    <t>全年结束，磁极纬度已达86.3°N，氢极值中心的“年度经度重心”继续向西偏移。</t>
  </si>
  <si>
    <t>66.00°S, 133.38°E</t>
  </si>
  <si>
    <r>
      <rPr>
        <b/>
        <sz val="11"/>
        <color rgb="FF1F1F1F"/>
        <rFont val="Arial"/>
        <charset val="134"/>
      </rPr>
      <t>78.60°S</t>
    </r>
    <r>
      <rPr>
        <sz val="11"/>
        <color rgb="FF1F1F1F"/>
        <rFont val="Arial"/>
        <charset val="134"/>
      </rPr>
      <t>, 178.45°E</t>
    </r>
  </si>
  <si>
    <t>全年结束。对比 2008 年 12 月（350），呈现清晰的同步反弹。</t>
  </si>
  <si>
    <t>日期 (2010年)</t>
  </si>
  <si>
    <t>86.37°N, 138.53°W</t>
  </si>
  <si>
    <t>72.5°N, 120.8°W</t>
  </si>
  <si>
    <t>极小期尾声的冬季特征，氢原子在夜侧（加拿大西北部）高度集中。</t>
  </si>
  <si>
    <t>66.01°S, 133.32°E</t>
  </si>
  <si>
    <r>
      <rPr>
        <b/>
        <sz val="11"/>
        <color rgb="FF1F1F1F"/>
        <rFont val="Arial"/>
        <charset val="134"/>
      </rPr>
      <t>79.15°S</t>
    </r>
    <r>
      <rPr>
        <sz val="11"/>
        <color rgb="FF1F1F1F"/>
        <rFont val="Arial"/>
        <charset val="134"/>
      </rPr>
      <t>, 179.80°E</t>
    </r>
  </si>
  <si>
    <t>显著回升：对比2009年1月的368，厚度跃升了 17。</t>
  </si>
  <si>
    <t>86.42°N, 138.94°W</t>
  </si>
  <si>
    <t>极值中心随季节向西漂移。</t>
  </si>
  <si>
    <t>66.02°S, 133.27°E</t>
  </si>
  <si>
    <t>78.40°S, 178.10°E</t>
  </si>
  <si>
    <t>太阳活跃度爬坡，热层受热膨胀明显，结构性支撑增强。</t>
  </si>
  <si>
    <t>~6750</t>
  </si>
  <si>
    <t>86.47°N, 139.36°W</t>
  </si>
  <si>
    <t>74.8°N, 133.2°W</t>
  </si>
  <si>
    <t>春分期间，太阳辐射增强，热层开始轻微扩张，推升氢原子纬度。</t>
  </si>
  <si>
    <t>66.03°S, 133.22°E</t>
  </si>
  <si>
    <t>77.25°S, 174.50°E</t>
  </si>
  <si>
    <t>春分前夕。纬度差的持续收窄让“极点穹顶”更加稳固。</t>
  </si>
  <si>
    <t>~6705</t>
  </si>
  <si>
    <t>86.51°N, 139.79°W</t>
  </si>
  <si>
    <t>76.5°N, 140.5°W</t>
  </si>
  <si>
    <r>
      <rPr>
        <b/>
        <sz val="11"/>
        <color rgb="FF1F1F1F"/>
        <rFont val="Arial"/>
        <charset val="134"/>
      </rPr>
      <t>4月5日强磁暴预兆</t>
    </r>
    <r>
      <rPr>
        <sz val="11"/>
        <color rgb="FF1F1F1F"/>
        <rFont val="Arial"/>
        <charset val="134"/>
      </rPr>
      <t>：背景氢浓度因太阳风回升而产生波动。</t>
    </r>
  </si>
  <si>
    <t>66.04°S, 133.16°E</t>
  </si>
  <si>
    <t>75.80°S, 168.90°E</t>
  </si>
  <si>
    <t>观察到高层大气对宇宙射线的屏蔽效能随厚度增加而改善。</t>
  </si>
  <si>
    <t>~6640</t>
  </si>
  <si>
    <t>86.56°N, 140.22°W</t>
  </si>
  <si>
    <t>78.2°N, 148.8°W</t>
  </si>
  <si>
    <t>进入极昼，光压效应增强。磁极经度逼近 140°W。</t>
  </si>
  <si>
    <t>66.05°S, 133.11°E</t>
  </si>
  <si>
    <t>73.40°S, 162.30°E</t>
  </si>
  <si>
    <t>进入极昼。结构回靠抵消了部分原本会导致粒子流失的排斥力。</t>
  </si>
  <si>
    <t>86.60°N, 140.66°W</t>
  </si>
  <si>
    <t>80.5°N, 162.0°W</t>
  </si>
  <si>
    <t>夏至前夕，极值中心纬度随磁极位置同步处于高位。</t>
  </si>
  <si>
    <t>66.06°S, 133.06°E</t>
  </si>
  <si>
    <t>71.95°S, 158.15°E</t>
  </si>
  <si>
    <t>关键期：厚度较 2008 年谷底（322）已回升了 36。</t>
  </si>
  <si>
    <t>~6535</t>
  </si>
  <si>
    <t>86.65°N, 141.11°W</t>
  </si>
  <si>
    <t>82.8°N, 178.2°E</t>
  </si>
  <si>
    <t>极值中心进入东半球，与磁极维持稳定的空间偏置。</t>
  </si>
  <si>
    <t>66.07°S, 133.01°E</t>
  </si>
  <si>
    <r>
      <rPr>
        <b/>
        <sz val="11"/>
        <color rgb="FF1F1F1F"/>
        <rFont val="Arial"/>
        <charset val="134"/>
      </rPr>
      <t>70.45°S</t>
    </r>
    <r>
      <rPr>
        <sz val="11"/>
        <color rgb="FF1F1F1F"/>
        <rFont val="Arial"/>
        <charset val="134"/>
      </rPr>
      <t>, 154.20°E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</si>
  <si>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：北方推力在增强的磁瓶约束面前，压缩效率明显下降。</t>
    </r>
  </si>
  <si>
    <t>86.70°N, 141.56°W</t>
  </si>
  <si>
    <t>82.2°N, 168.5°E</t>
  </si>
  <si>
    <t>极区热层温度回升，氢原子的磁约束区域呈现弥散状态。</t>
  </si>
  <si>
    <t>66.08°S, 132.96°E</t>
  </si>
  <si>
    <t>72.10°S, 159.80°E</t>
  </si>
  <si>
    <t>热层物质在磁场引导下，更有效地在极区上方聚集。</t>
  </si>
  <si>
    <t>86.74°N, 142.02°W</t>
  </si>
  <si>
    <t>78.8°N, 159.0°E</t>
  </si>
  <si>
    <t>秋分效应，氢极值点从极点附近向低纬度回落。</t>
  </si>
  <si>
    <t>66.09°S, 132.92°E</t>
  </si>
  <si>
    <t>74.35°S, 166.40°E</t>
  </si>
  <si>
    <t>秋分。大气层整体厚度重新回到了 2005-2006 年的水平。</t>
  </si>
  <si>
    <t>86.79°N, 142.49°W</t>
  </si>
  <si>
    <t>77.2°N, 152.0°E</t>
  </si>
  <si>
    <t>磁极继续向北极点挺进，氢中心紧随其纬度轴。</t>
  </si>
  <si>
    <t>66.11°S, 132.87°E</t>
  </si>
  <si>
    <t>76.80°S, 175.10°E</t>
  </si>
  <si>
    <t>极夜临近。随着纬度差向 10 以内逼近，极点屏蔽效应显著修复。</t>
  </si>
  <si>
    <t>~6490</t>
  </si>
  <si>
    <t>86.83°N, 142.96°W</t>
  </si>
  <si>
    <t>75.5°N, 143.5°E</t>
  </si>
  <si>
    <t>季节性南移，极值中心位于西伯利亚东北近海。</t>
  </si>
  <si>
    <t>66.12°S, 132.83°E</t>
  </si>
  <si>
    <t>79.55°S, 185.30°E</t>
  </si>
  <si>
    <t>太阳紫外线（EUV）辐射的增加，为大气层提供了充足的向上动力。</t>
  </si>
  <si>
    <t>~6445</t>
  </si>
  <si>
    <t>86.88°N, 143.44°W</t>
  </si>
  <si>
    <t>73.8°N, 135.8°E</t>
  </si>
  <si>
    <t>全年结束，磁极纬度已逼近 87°N。</t>
  </si>
  <si>
    <t>66.13°S, 132.78°E</t>
  </si>
  <si>
    <r>
      <rPr>
        <b/>
        <sz val="11"/>
        <color rgb="FF1F1F1F"/>
        <rFont val="Arial"/>
        <charset val="134"/>
      </rPr>
      <t>82.30°S</t>
    </r>
    <r>
      <rPr>
        <sz val="11"/>
        <color rgb="FF1F1F1F"/>
        <rFont val="Arial"/>
        <charset val="134"/>
      </rPr>
      <t>, 192.15°E</t>
    </r>
  </si>
  <si>
    <t>全年结束。对比 2009 年 12 月（365），实现了 27 的大幅增长。</t>
  </si>
  <si>
    <t>日期 (2011年)</t>
  </si>
  <si>
    <t>86.93°N, 143.92°W</t>
  </si>
  <si>
    <t>72.0°N, 118.5°W</t>
  </si>
  <si>
    <t>冬季特征，氢原子在加拿大夜侧高度集中，磁极已极其接近北极点。</t>
  </si>
  <si>
    <t>66.14°S, 132.73°E</t>
  </si>
  <si>
    <r>
      <rPr>
        <b/>
        <sz val="11"/>
        <color rgb="FF1F1F1F"/>
        <rFont val="Arial"/>
        <charset val="134"/>
      </rPr>
      <t>83.15°S</t>
    </r>
    <r>
      <rPr>
        <sz val="11"/>
        <color rgb="FF1F1F1F"/>
        <rFont val="Arial"/>
        <charset val="134"/>
      </rPr>
      <t>, 198.40°E</t>
    </r>
  </si>
  <si>
    <t>质变验证：对比 2010 年 1 月的 385，厚度大幅反弹 27，重新站上 400 关口。</t>
  </si>
  <si>
    <t>~6360</t>
  </si>
  <si>
    <t>86.97°N, 144.42°W</t>
  </si>
  <si>
    <t>72.8°N, 124.2°W</t>
  </si>
  <si>
    <t>极值中心随季节变化向西偏移，纬度保持稳定。</t>
  </si>
  <si>
    <t>66.15°S, 132.68°E</t>
  </si>
  <si>
    <t>82.80°S, 195.12°E</t>
  </si>
  <si>
    <t>磁极位置向极点回靠，使得极点上空的磁瓶结构变得深邃且稳固。</t>
  </si>
  <si>
    <t>~6315</t>
  </si>
  <si>
    <t>87.02°N, 144.91°W</t>
  </si>
  <si>
    <t>74.5°N, 131.8°W</t>
  </si>
  <si>
    <r>
      <rPr>
        <b/>
        <sz val="11"/>
        <color rgb="FF1F1F1F"/>
        <rFont val="Arial"/>
        <charset val="134"/>
      </rPr>
      <t>3月突破</t>
    </r>
    <r>
      <rPr>
        <sz val="11"/>
        <color rgb="FF1F1F1F"/>
        <rFont val="Arial"/>
        <charset val="134"/>
      </rPr>
      <t xml:space="preserve">：磁极纬度正式突破 </t>
    </r>
    <r>
      <rPr>
        <b/>
        <sz val="11"/>
        <color rgb="FF1F1F1F"/>
        <rFont val="Arial"/>
        <charset val="134"/>
      </rPr>
      <t>87.0°N</t>
    </r>
    <r>
      <rPr>
        <sz val="11"/>
        <color rgb="FF1F1F1F"/>
        <rFont val="Arial"/>
        <charset val="134"/>
      </rPr>
      <t>，氢中心纬度随热层受热而上升。</t>
    </r>
  </si>
  <si>
    <t>66.16°S, 132.62°E</t>
  </si>
  <si>
    <t>80.45°S, 188.60°E</t>
  </si>
  <si>
    <t>太阳活动频繁，热层受到充足能量补给，有效厚度基准线下移缓慢。</t>
  </si>
  <si>
    <t>~6040</t>
  </si>
  <si>
    <t>87.07°N, 145.42°W</t>
  </si>
  <si>
    <t>76.2°N, 139.5°W</t>
  </si>
  <si>
    <t>太阳活动显著回升，高能粒子注入导致极区氢激发频率增加。</t>
  </si>
  <si>
    <t>66.18°S, 132.57°E</t>
  </si>
  <si>
    <t>78.90°S, 180.15°E</t>
  </si>
  <si>
    <t>纬度差进入“单位数”区间，极点上空的物质逃逸率显著下降。</t>
  </si>
  <si>
    <t>87.11°N, 145.92°W</t>
  </si>
  <si>
    <t>78.0°N, 148.2°W</t>
  </si>
  <si>
    <t>极昼效应叠加磁极牵引，氢分布向极区核心聚拢。</t>
  </si>
  <si>
    <t>66.19°S, 132.52°E</t>
  </si>
  <si>
    <t>76.12°S, 172.40°E</t>
  </si>
  <si>
    <t>进入极昼。相比 2008 年谷底同期的 332，厚度防御力提升了近 18%。</t>
  </si>
  <si>
    <t>87.16°N, 146.43°W</t>
  </si>
  <si>
    <t>80.5°N, 161.5°W</t>
  </si>
  <si>
    <t>夏至期间，极值中心经纬度与磁极呈现强关联。</t>
  </si>
  <si>
    <t>66.20°S, 132.47°E</t>
  </si>
  <si>
    <t>73.85°S, 165.90°E</t>
  </si>
  <si>
    <r>
      <rPr>
        <b/>
        <sz val="11"/>
        <color rgb="FF1F1F1F"/>
        <rFont val="Arial"/>
        <charset val="134"/>
      </rPr>
      <t>关键期</t>
    </r>
    <r>
      <rPr>
        <sz val="11"/>
        <color rgb="FF1F1F1F"/>
        <rFont val="Arial"/>
        <charset val="134"/>
      </rPr>
      <t>：虽然季节性热压增强，但在强磁场约束下，厚度维持在历史高位。</t>
    </r>
  </si>
  <si>
    <t>87.21°N, 146.95°W</t>
  </si>
  <si>
    <t>82.5°N, 179.0°E</t>
  </si>
  <si>
    <t>极值中心跨入东半球。太阳活跃度提高使地冕整体密度增加。</t>
  </si>
  <si>
    <t>66.21°S, 132.42°E</t>
  </si>
  <si>
    <r>
      <rPr>
        <b/>
        <sz val="11"/>
        <color rgb="FF1F1F1F"/>
        <rFont val="Arial"/>
        <charset val="134"/>
      </rPr>
      <t>72.10°S</t>
    </r>
    <r>
      <rPr>
        <sz val="11"/>
        <color rgb="FF1F1F1F"/>
        <rFont val="Arial"/>
        <charset val="134"/>
      </rPr>
      <t>, 160.45°E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</si>
  <si>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：北方推力在此时已无法轻易“压扁”这个具有强磁性骨架的大气层。</t>
    </r>
  </si>
  <si>
    <t>87.25°N, 147.47°W</t>
  </si>
  <si>
    <t>85.2°N, 165.0°E</t>
  </si>
  <si>
    <r>
      <rPr>
        <b/>
        <sz val="11"/>
        <color rgb="FF1F1F1F"/>
        <rFont val="Arial"/>
        <charset val="134"/>
      </rPr>
      <t>8月强耀斑影响</t>
    </r>
    <r>
      <rPr>
        <sz val="11"/>
        <color rgb="FF1F1F1F"/>
        <rFont val="Arial"/>
        <charset val="134"/>
      </rPr>
      <t>：氢极值中心发生显著的高纬偏移。</t>
    </r>
  </si>
  <si>
    <t>66.23°S, 132.36°E</t>
  </si>
  <si>
    <t>74.35°S, 168.10°E</t>
  </si>
  <si>
    <t>热层物质在高能粒子流的激发下，维持了较好的垂向尺度。</t>
  </si>
  <si>
    <t>~6170</t>
  </si>
  <si>
    <t>87.30°N, 148.00°W</t>
  </si>
  <si>
    <t>78.5°N, 158.2°E</t>
  </si>
  <si>
    <t>秋分效应，氢极值点从极点附近正常回落。</t>
  </si>
  <si>
    <t>66.24°S, 132.31°E</t>
  </si>
  <si>
    <t>77.20°S, 178.50°E</t>
  </si>
  <si>
    <t>秋分。大气层整体呈现出一种比前五年都要厚实的“稳态”。</t>
  </si>
  <si>
    <t>~6115</t>
  </si>
  <si>
    <t>87.35°N, 148.54°W</t>
  </si>
  <si>
    <t>84.8°N, 152.0°E</t>
  </si>
  <si>
    <r>
      <rPr>
        <b/>
        <sz val="11"/>
        <color rgb="FF1F1F1F"/>
        <rFont val="Arial"/>
        <charset val="134"/>
      </rPr>
      <t>10月地磁扰动</t>
    </r>
    <r>
      <rPr>
        <sz val="11"/>
        <color rgb="FF1F1F1F"/>
        <rFont val="Arial"/>
        <charset val="134"/>
      </rPr>
      <t>：受日冕物质抛射影响，极值区再次北冲。</t>
    </r>
  </si>
  <si>
    <t>66.25°S, 132.26°E</t>
  </si>
  <si>
    <t>80.15°S, 192.30°E</t>
  </si>
  <si>
    <t>极夜临近。由于磁场结构处于优化期，极点屏蔽效能回归。</t>
  </si>
  <si>
    <t>~6085</t>
  </si>
  <si>
    <t>87.39°N, 149.08°W</t>
  </si>
  <si>
    <t>75.2°N, 142.5°E</t>
  </si>
  <si>
    <t>季节性南移，极值中心回到西伯利亚东侧。</t>
  </si>
  <si>
    <t>66.26°S, 132.21°E</t>
  </si>
  <si>
    <r>
      <rPr>
        <b/>
        <sz val="11"/>
        <color rgb="FF1F1F1F"/>
        <rFont val="Arial"/>
        <charset val="134"/>
      </rPr>
      <t>83.90°S</t>
    </r>
    <r>
      <rPr>
        <sz val="11"/>
        <color rgb="FF1F1F1F"/>
        <rFont val="Arial"/>
        <charset val="134"/>
      </rPr>
      <t>, 210.15°E</t>
    </r>
  </si>
  <si>
    <t>太阳活动进入第 24 周期的高位运行，为大气层提供了持续的扩张动力。</t>
  </si>
  <si>
    <t>~6130</t>
  </si>
  <si>
    <t>87.44°N, 149.63°W</t>
  </si>
  <si>
    <t>73.5°N, 134.8°E</t>
  </si>
  <si>
    <t>全年结束，磁极纬度已逼近 87.5°N，向东半球快速逼近。</t>
  </si>
  <si>
    <t>66.28°S, 132.16°E</t>
  </si>
  <si>
    <r>
      <rPr>
        <b/>
        <sz val="11"/>
        <color rgb="FF1F1F1F"/>
        <rFont val="Arial"/>
        <charset val="134"/>
      </rPr>
      <t>85.65°S</t>
    </r>
    <r>
      <rPr>
        <sz val="11"/>
        <color rgb="FF1F1F1F"/>
        <rFont val="Arial"/>
        <charset val="134"/>
      </rPr>
      <t>, 225.80°E</t>
    </r>
  </si>
  <si>
    <t>全年结束。对比 2008 年 12 月（350），实现了 60 的史诗级修复。</t>
  </si>
  <si>
    <t>~6090</t>
  </si>
  <si>
    <t>日期 (2012年)</t>
  </si>
  <si>
    <t>87.48°N, 150.19°W</t>
  </si>
  <si>
    <t>72.5°N, 116.5°W</t>
  </si>
  <si>
    <t>冬季特征，氢原子在夜侧高度集中。磁极正迅速逼近地理极点。</t>
  </si>
  <si>
    <t>66.29°S, 132.11°E</t>
  </si>
  <si>
    <r>
      <rPr>
        <b/>
        <sz val="11"/>
        <color rgb="FF1F1F1F"/>
        <rFont val="Arial"/>
        <charset val="134"/>
      </rPr>
      <t>86.12°S</t>
    </r>
    <r>
      <rPr>
        <sz val="11"/>
        <color rgb="FF1F1F1F"/>
        <rFont val="Arial"/>
        <charset val="134"/>
      </rPr>
      <t>, 235.40°E</t>
    </r>
  </si>
  <si>
    <t>持续冲高：对比 2011 年 1 月的 412，厚度随纬度差收窄继续爬升。</t>
  </si>
  <si>
    <t>~6110</t>
  </si>
  <si>
    <t>87.53°N, 150.77°W</t>
  </si>
  <si>
    <t>73.0°N, 122.8°W</t>
  </si>
  <si>
    <t>极值中心随季节变化向西偏移，受太阳活跃影响背景值升高。</t>
  </si>
  <si>
    <t>66.30°S, 132.06°E</t>
  </si>
  <si>
    <t>85.80°S, 230.15°E</t>
  </si>
  <si>
    <t>磁极进一步向极点合拢，极点上空的“磁笼”越发紧固。</t>
  </si>
  <si>
    <t>~6060</t>
  </si>
  <si>
    <t>87.58°N, 151.35°W</t>
  </si>
  <si>
    <t>85.5°N, 140.2°E</t>
  </si>
  <si>
    <r>
      <rPr>
        <b/>
        <sz val="11"/>
        <color rgb="FF1F1F1F"/>
        <rFont val="Arial"/>
        <charset val="134"/>
      </rPr>
      <t>3月“超级太阳风暴”</t>
    </r>
    <r>
      <rPr>
        <sz val="11"/>
        <color rgb="FF1F1F1F"/>
        <rFont val="Arial"/>
        <charset val="134"/>
      </rPr>
      <t>：氢极值中心受连续爆发影响发生剧烈北移。</t>
    </r>
  </si>
  <si>
    <t>66.31°S, 132.01°E</t>
  </si>
  <si>
    <t>83.45°S, 218.60°E</t>
  </si>
  <si>
    <t>太阳第 24 周期极大期临近，能量注入处于高位平台。</t>
  </si>
  <si>
    <t>~5780</t>
  </si>
  <si>
    <t>87.62°N, 151.93°W</t>
  </si>
  <si>
    <t>76.5°N, 138.5°W</t>
  </si>
  <si>
    <t>极值纬度在磁暴后缓慢回落。</t>
  </si>
  <si>
    <t>66.33°S, 131.96°E</t>
  </si>
  <si>
    <t>80.90°S, 205.15°E</t>
  </si>
  <si>
    <t>磁场结构的优化使得高层大气对外部扰动的防御力达到阶段性巅峰。</t>
  </si>
  <si>
    <t>~6015</t>
  </si>
  <si>
    <t>87.67°N, 152.54°W</t>
  </si>
  <si>
    <t>78.5°N, 146.2°W</t>
  </si>
  <si>
    <t>极昼效应叠加活跃的太阳风注入，氢分布向极区高度汇聚。</t>
  </si>
  <si>
    <t>66.34°S, 131.91°E</t>
  </si>
  <si>
    <t>77.12°S, 188.40°E</t>
  </si>
  <si>
    <t>进入极昼。观察到极点大气顶盖的厚度维持在 400 以上。</t>
  </si>
  <si>
    <t>87.72°N, 153.15°W</t>
  </si>
  <si>
    <t>80.8°N, 160.5°W</t>
  </si>
  <si>
    <t>夏至期间，极值中心纬度与磁极呈现强耦合态势。</t>
  </si>
  <si>
    <t>66.35°S, 131.86°E</t>
  </si>
  <si>
    <t>75.85°S, 179.90°E</t>
  </si>
  <si>
    <t>关键期：厚度较 2008 年同期（322）已回升了惊人的 80。</t>
  </si>
  <si>
    <t>87.76°N, 153.77°W</t>
  </si>
  <si>
    <t>86.8°N, 175.0°E</t>
  </si>
  <si>
    <r>
      <rPr>
        <b/>
        <sz val="11"/>
        <color rgb="FF1F1F1F"/>
        <rFont val="Arial"/>
        <charset val="134"/>
      </rPr>
      <t>7月强爆发</t>
    </r>
    <r>
      <rPr>
        <sz val="11"/>
        <color rgb="FF1F1F1F"/>
        <rFont val="Arial"/>
        <charset val="134"/>
      </rPr>
      <t>：氢极值几乎与磁极重合。</t>
    </r>
  </si>
  <si>
    <t>66.36°S, 131.81°E</t>
  </si>
  <si>
    <r>
      <rPr>
        <b/>
        <sz val="11"/>
        <color rgb="FF1F1F1F"/>
        <rFont val="Arial"/>
        <charset val="134"/>
      </rPr>
      <t>74.10°S</t>
    </r>
    <r>
      <rPr>
        <sz val="11"/>
        <color rgb="FF1F1F1F"/>
        <rFont val="Arial"/>
        <charset val="134"/>
      </rPr>
      <t>, 170.45°E</t>
    </r>
  </si>
  <si>
    <t>夏季低点：即便受热压影响，厚度依然没有跌破 390。</t>
  </si>
  <si>
    <t>87.81°N, 154.41°W</t>
  </si>
  <si>
    <t>82.2°N, 162.8°E</t>
  </si>
  <si>
    <t>极区热层维持高活跃度下的高温态。</t>
  </si>
  <si>
    <t>66.38°S, 131.76°E</t>
  </si>
  <si>
    <t>76.35°S, 182.10°E</t>
  </si>
  <si>
    <t>北极海冰大量消失，底部热量向上输送，热层发生异常膨胀。</t>
  </si>
  <si>
    <t>~5940</t>
  </si>
  <si>
    <t>87.86°N, 155.06°W</t>
  </si>
  <si>
    <t>79.2°N, 156.5°E</t>
  </si>
  <si>
    <t>66.39°S, 131.71°E</t>
  </si>
  <si>
    <t>80.20°S, 210.50°E</t>
  </si>
  <si>
    <t>秋分。由于底层热惯性增强，大气层厚度回落速度慢于往年。</t>
  </si>
  <si>
    <t>87.90°N, 155.72°W</t>
  </si>
  <si>
    <t>77.5°N, 148.8°E</t>
  </si>
  <si>
    <r>
      <rPr>
        <sz val="11"/>
        <color rgb="FF1F1F1F"/>
        <rFont val="Arial"/>
        <charset val="134"/>
      </rPr>
      <t xml:space="preserve">磁极纬度已逼近 </t>
    </r>
    <r>
      <rPr>
        <b/>
        <sz val="11"/>
        <color rgb="FF1F1F1F"/>
        <rFont val="Arial"/>
        <charset val="134"/>
      </rPr>
      <t>88°N</t>
    </r>
    <r>
      <rPr>
        <sz val="11"/>
        <color rgb="FF1F1F1F"/>
        <rFont val="Arial"/>
        <charset val="134"/>
      </rPr>
      <t>，离极点仅剩两百多公里。</t>
    </r>
  </si>
  <si>
    <t>66.40°S, 131.66°E</t>
  </si>
  <si>
    <t>84.15°S, 232.30°E</t>
  </si>
  <si>
    <t>极夜临近。地磁结构与热力回馈共同支撑了高位厚度。</t>
  </si>
  <si>
    <t>~6185</t>
  </si>
  <si>
    <t>87.95°N, 156.39°W</t>
  </si>
  <si>
    <t>75.8°N, 140.2°E</t>
  </si>
  <si>
    <t>季节性南移，极值中心位于东西伯利亚海北侧。</t>
  </si>
  <si>
    <t>66.41°S, 131.61°E</t>
  </si>
  <si>
    <r>
      <rPr>
        <b/>
        <sz val="11"/>
        <color rgb="FF1F1F1F"/>
        <rFont val="Arial"/>
        <charset val="134"/>
      </rPr>
      <t>87.90°S</t>
    </r>
    <r>
      <rPr>
        <sz val="11"/>
        <color rgb="FF1F1F1F"/>
        <rFont val="Arial"/>
        <charset val="134"/>
      </rPr>
      <t>, 275.15°E</t>
    </r>
  </si>
  <si>
    <t>太阳活跃度维持，大气层处于一个非常“饱满”的态势。</t>
  </si>
  <si>
    <t>~6230</t>
  </si>
  <si>
    <t>88.00°N, 157.07°W</t>
  </si>
  <si>
    <t>74.0°N, 132.5°E</t>
  </si>
  <si>
    <r>
      <rPr>
        <b/>
        <sz val="11"/>
        <color rgb="FF1F1F1F"/>
        <rFont val="Arial"/>
        <charset val="134"/>
      </rPr>
      <t>12月突破</t>
    </r>
    <r>
      <rPr>
        <sz val="11"/>
        <color rgb="FF1F1F1F"/>
        <rFont val="Arial"/>
        <charset val="134"/>
      </rPr>
      <t xml:space="preserve">：磁极纬度正式到达 </t>
    </r>
    <r>
      <rPr>
        <b/>
        <sz val="11"/>
        <color rgb="FF1F1F1F"/>
        <rFont val="Arial"/>
        <charset val="134"/>
      </rPr>
      <t>88.0°N</t>
    </r>
    <r>
      <rPr>
        <sz val="11"/>
        <color rgb="FF1F1F1F"/>
        <rFont val="Arial"/>
        <charset val="134"/>
      </rPr>
      <t>。</t>
    </r>
  </si>
  <si>
    <t>66.43°S, 131.56°E</t>
  </si>
  <si>
    <r>
      <rPr>
        <b/>
        <sz val="11"/>
        <color rgb="FF1F1F1F"/>
        <rFont val="Arial"/>
        <charset val="134"/>
      </rPr>
      <t>88.65°S</t>
    </r>
    <r>
      <rPr>
        <sz val="11"/>
        <color rgb="FF1F1F1F"/>
        <rFont val="Arial"/>
        <charset val="134"/>
      </rPr>
      <t>, 302.80°E</t>
    </r>
  </si>
  <si>
    <t>全年结束。相比 2008 年（350），系统实现了近 23% 的厚度扩张。</t>
  </si>
  <si>
    <t>~6260</t>
  </si>
  <si>
    <t>日期 (2013年)</t>
  </si>
  <si>
    <t>88.04°N, 157.77°W</t>
  </si>
  <si>
    <t>72.8°N, 114.5°W</t>
  </si>
  <si>
    <t>冬季特征，氢原子在加拿大西北部夜侧高度集中。</t>
  </si>
  <si>
    <t>66.44°S, 131.51°E</t>
  </si>
  <si>
    <r>
      <rPr>
        <b/>
        <sz val="11"/>
        <color rgb="FF1F1F1F"/>
        <rFont val="Arial"/>
        <charset val="134"/>
      </rPr>
      <t>87.95°S</t>
    </r>
    <r>
      <rPr>
        <sz val="11"/>
        <color rgb="FF1F1F1F"/>
        <rFont val="Arial"/>
        <charset val="134"/>
      </rPr>
      <t>, 295.10°E</t>
    </r>
  </si>
  <si>
    <t>峰值突破：对比 2001 年的 425，系统已完全修复并实现了“正增长”。</t>
  </si>
  <si>
    <t>88.09°N, 158.48°W</t>
  </si>
  <si>
    <t>73.5°N, 120.2°W</t>
  </si>
  <si>
    <t>极值中心随季节变化向西偏移。</t>
  </si>
  <si>
    <t>66.45°S, 131.46°E</t>
  </si>
  <si>
    <t>87.10°S, 288.40°E</t>
  </si>
  <si>
    <t>太阳第 24 周期极大期带来的热膨胀，在稳固的磁瓶中达到了效率最大化。</t>
  </si>
  <si>
    <t>~6205</t>
  </si>
  <si>
    <t>88.13°N, 159.21°W</t>
  </si>
  <si>
    <t>75.0°N, 128.5°W</t>
  </si>
  <si>
    <t>春分期间，背景氢浓度随太阳活跃度升高而增强。</t>
  </si>
  <si>
    <t>66.46°S, 131.41°E</t>
  </si>
  <si>
    <t>85.35°S, 265.20°E</t>
  </si>
  <si>
    <t>春分。磁极与地理极点的“贴身”状态，有效对冲了季节性下沉气流。</t>
  </si>
  <si>
    <t>88.18°N, 159.95°W</t>
  </si>
  <si>
    <t>76.8°N, 136.2°W</t>
  </si>
  <si>
    <t>太阳风注入稳定，氢极值纬度保持在76°N以上。</t>
  </si>
  <si>
    <t>66.48°S, 131.36°E</t>
  </si>
  <si>
    <t>82.12°S, 242.15°E</t>
  </si>
  <si>
    <t>观测到高层大气的离子密度随厚度增加而同步饱和。</t>
  </si>
  <si>
    <t>~6220</t>
  </si>
  <si>
    <t>88.23°N, 160.71°W</t>
  </si>
  <si>
    <t>86.5°N, 142.5°E</t>
  </si>
  <si>
    <r>
      <rPr>
        <b/>
        <sz val="11"/>
        <color rgb="FF1F1F1F"/>
        <rFont val="Arial"/>
        <charset val="134"/>
      </rPr>
      <t>5月强耀斑群</t>
    </r>
    <r>
      <rPr>
        <sz val="11"/>
        <color rgb="FF1F1F1F"/>
        <rFont val="Arial"/>
        <charset val="134"/>
      </rPr>
      <t>：极值中心受多次CME冲击发生剧烈北冲。</t>
    </r>
  </si>
  <si>
    <t>66.49°S, 131.31°E</t>
  </si>
  <si>
    <t>78.45°S, 215.80°E</t>
  </si>
  <si>
    <t>进入极昼。相比 2008 年谷底的 332，厚度防御力提高了约 27%。</t>
  </si>
  <si>
    <t>88.27°N, 161.48°W</t>
  </si>
  <si>
    <t>81.2°N, 165.0°W</t>
  </si>
  <si>
    <t>夏至前夕，氢原子在极区核心呈现高浓度弥散态。</t>
  </si>
  <si>
    <t>66.50°S, 131.26°E</t>
  </si>
  <si>
    <t>76.10°S, 195.40°E</t>
  </si>
  <si>
    <t>关键期：在夏季热压最强时，厚度依然稳稳压在 400 红线以上。</t>
  </si>
  <si>
    <t>88.32°N, 162.27°W</t>
  </si>
  <si>
    <t>83.5°N, 178.5°E</t>
  </si>
  <si>
    <t>极值中心跨入东半球，与磁极维持强耦合。</t>
  </si>
  <si>
    <t>66.51°S, 131.21°E</t>
  </si>
  <si>
    <r>
      <rPr>
        <b/>
        <sz val="11"/>
        <color rgb="FF1F1F1F"/>
        <rFont val="Arial"/>
        <charset val="134"/>
      </rPr>
      <t>73.80°S</t>
    </r>
    <r>
      <rPr>
        <sz val="11"/>
        <color rgb="FF1F1F1F"/>
        <rFont val="Arial"/>
        <charset val="134"/>
      </rPr>
      <t>, 182.15°E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</si>
  <si>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 8.52 的强磁约束面前，已无法造成大气结构的坍塌。</t>
    </r>
  </si>
  <si>
    <t>~6135</t>
  </si>
  <si>
    <t>88.36°N, 163.08°W</t>
  </si>
  <si>
    <t>82.8°N, 172.0°E</t>
  </si>
  <si>
    <t>极区热层维持高温，氢原子的“磁约束”效应非常明显。</t>
  </si>
  <si>
    <t>66.53°S, 131.16°E</t>
  </si>
  <si>
    <t>75.95°S, 198.60°E</t>
  </si>
  <si>
    <t>大气层顶端的氢原子在强磁场锁定下，形成了极其致密的“镜像屏障”。</t>
  </si>
  <si>
    <t>~6160</t>
  </si>
  <si>
    <t>88.41°N, 163.90°W</t>
  </si>
  <si>
    <t>79.5°N, 160.2°E</t>
  </si>
  <si>
    <t>秋分效应，氢极值点从极点附近正常向南回落。</t>
  </si>
  <si>
    <t>66.54°S, 131.11°E</t>
  </si>
  <si>
    <t>79.40°S, 228.40°E</t>
  </si>
  <si>
    <t>秋分。大气整体稳态远超 2000 年代初的任何时期。</t>
  </si>
  <si>
    <t>88.46°N, 164.75°W</t>
  </si>
  <si>
    <t>85.8°N, 125.5°E</t>
  </si>
  <si>
    <r>
      <rPr>
        <b/>
        <sz val="11"/>
        <color rgb="FF1F1F1F"/>
        <rFont val="Arial"/>
        <charset val="134"/>
      </rPr>
      <t>10月太阳活跃期</t>
    </r>
    <r>
      <rPr>
        <sz val="11"/>
        <color rgb="FF1F1F1F"/>
        <rFont val="Arial"/>
        <charset val="134"/>
      </rPr>
      <t>：受高能粒子流影响，极值区再次北移。</t>
    </r>
  </si>
  <si>
    <t>66.55°S, 131.06°E</t>
  </si>
  <si>
    <t>83.12°S, 255.90°E</t>
  </si>
  <si>
    <t>极夜临近。地磁场在北极点上空形成的“引力阱”效应达到阶段性顶峰。</t>
  </si>
  <si>
    <t>88.50°N, 165.61°W</t>
  </si>
  <si>
    <t>75.5°N, 140.8°E</t>
  </si>
  <si>
    <t>季节性南移，极值中心回归西伯利亚东北部。</t>
  </si>
  <si>
    <t>66.56°S, 131.01°E</t>
  </si>
  <si>
    <r>
      <rPr>
        <b/>
        <sz val="11"/>
        <color rgb="FF1F1F1F"/>
        <rFont val="Arial"/>
        <charset val="134"/>
      </rPr>
      <t>86.45°S</t>
    </r>
    <r>
      <rPr>
        <sz val="11"/>
        <color rgb="FF1F1F1F"/>
        <rFont val="Arial"/>
        <charset val="134"/>
      </rPr>
      <t>, 288.10°E</t>
    </r>
  </si>
  <si>
    <t>太阳能量持续注入，大气层表现出一种高度“充盈”的健康局势。</t>
  </si>
  <si>
    <t>88.55°N, 166.49°W</t>
  </si>
  <si>
    <t>73.8°N, 132.0°E</t>
  </si>
  <si>
    <r>
      <rPr>
        <sz val="11"/>
        <color rgb="FF1F1F1F"/>
        <rFont val="Arial"/>
        <charset val="134"/>
      </rPr>
      <t xml:space="preserve">全年结束，磁极纬度已逼近 </t>
    </r>
    <r>
      <rPr>
        <b/>
        <sz val="11"/>
        <color rgb="FF1F1F1F"/>
        <rFont val="Arial"/>
        <charset val="134"/>
      </rPr>
      <t>88.6°N</t>
    </r>
    <r>
      <rPr>
        <sz val="11"/>
        <color rgb="FF1F1F1F"/>
        <rFont val="Arial"/>
        <charset val="134"/>
      </rPr>
      <t>。</t>
    </r>
  </si>
  <si>
    <t>66.58°S, 130.96°E</t>
  </si>
  <si>
    <r>
      <rPr>
        <b/>
        <sz val="11"/>
        <color rgb="FF1F1F1F"/>
        <rFont val="Arial"/>
        <charset val="134"/>
      </rPr>
      <t>87.20°S</t>
    </r>
    <r>
      <rPr>
        <sz val="11"/>
        <color rgb="FF1F1F1F"/>
        <rFont val="Arial"/>
        <charset val="134"/>
      </rPr>
      <t>, 312.45°E</t>
    </r>
  </si>
  <si>
    <t>全年结束。对比 2008 年（350），系统厚度增加了近 100。</t>
  </si>
  <si>
    <t>日期 (2014年)</t>
  </si>
  <si>
    <t>88.59°N, 167.39°W</t>
  </si>
  <si>
    <t>72.5°N, 112.5°W</t>
  </si>
  <si>
    <t>冬季特征，氢原子在加拿大夜侧高度集中。</t>
  </si>
  <si>
    <t>66.59°S, 130.91°E</t>
  </si>
  <si>
    <r>
      <rPr>
        <b/>
        <sz val="11"/>
        <color rgb="FF1F1F1F"/>
        <rFont val="Arial"/>
        <charset val="134"/>
      </rPr>
      <t>86.15°S</t>
    </r>
    <r>
      <rPr>
        <sz val="11"/>
        <color rgb="FF1F1F1F"/>
        <rFont val="Arial"/>
        <charset val="134"/>
      </rPr>
      <t>, 301.20°E</t>
    </r>
  </si>
  <si>
    <t>加速冲顶：对比2013年的445，厚度涨幅进一步扩大。</t>
  </si>
  <si>
    <t>88.64°N, 168.32°W</t>
  </si>
  <si>
    <t>73.2°N, 118.8°W</t>
  </si>
  <si>
    <t>66.60°S, 130.86°E</t>
  </si>
  <si>
    <t>85.30°S, 285.45°E</t>
  </si>
  <si>
    <t>磁极在极点附近的“强力吸附”，让冬季热层呈现前所未有的饱满。</t>
  </si>
  <si>
    <t>88.68°N, 169.27°W</t>
  </si>
  <si>
    <t>74.8°N, 126.5°W</t>
  </si>
  <si>
    <t>66.62°S, 130.81°E</t>
  </si>
  <si>
    <t>82.40°S, 255.10°E</t>
  </si>
  <si>
    <t>第24太阳周期双峰期的第二个峰值，能量注入达到鼎盛。</t>
  </si>
  <si>
    <t>88.73°N, 170.24°W</t>
  </si>
  <si>
    <t>76.5°N, 134.2°W</t>
  </si>
  <si>
    <r>
      <rPr>
        <b/>
        <sz val="11"/>
        <color rgb="FF1F1F1F"/>
        <rFont val="Arial"/>
        <charset val="134"/>
      </rPr>
      <t>4月地磁暴</t>
    </r>
    <r>
      <rPr>
        <sz val="11"/>
        <color rgb="FF1F1F1F"/>
        <rFont val="Arial"/>
        <charset val="134"/>
      </rPr>
      <t>：受强太阳风冲击，极值纬度显著抬升。</t>
    </r>
  </si>
  <si>
    <t>66.63°S, 130.76°E</t>
  </si>
  <si>
    <t>79.15°S, 222.80°E</t>
  </si>
  <si>
    <t>纬度差收缩至 8.0 以内，极点上空的磁场几乎完全“垂直化”。</t>
  </si>
  <si>
    <t>~6330</t>
  </si>
  <si>
    <t>88.77°N, 171.24°W</t>
  </si>
  <si>
    <t>78.8°N, 140.5°W</t>
  </si>
  <si>
    <t>进入极昼，磁极经度已逼近 170°W。</t>
  </si>
  <si>
    <t>66.64°S, 130.71°E</t>
  </si>
  <si>
    <t>76.20°S, 198.40°E</t>
  </si>
  <si>
    <t>进入极昼。相比2008年（332），厚度基准线上移了 106。</t>
  </si>
  <si>
    <t>+1.19°C</t>
  </si>
  <si>
    <t>88.82°N, 172.27°W</t>
  </si>
  <si>
    <t>81.5°N, 162.8°W</t>
  </si>
  <si>
    <t>夏至前夕，氢分布向极区核心高度聚拢。</t>
  </si>
  <si>
    <t>66.65°S, 130.66°E</t>
  </si>
  <si>
    <t>74.35°S, 185.12°E</t>
  </si>
  <si>
    <t>关键期：在夏季热压最强时，大气层厚度依然坚挺在 420 以上。</t>
  </si>
  <si>
    <t>~6345</t>
  </si>
  <si>
    <t>88.86°N, 173.32°W</t>
  </si>
  <si>
    <t>83.2°N, 179.5°E</t>
  </si>
  <si>
    <t>66.66°S, 130.61°E</t>
  </si>
  <si>
    <r>
      <rPr>
        <b/>
        <sz val="11"/>
        <color rgb="FF1F1F1F"/>
        <rFont val="Arial"/>
        <charset val="134"/>
      </rPr>
      <t>72.15°S</t>
    </r>
    <r>
      <rPr>
        <sz val="11"/>
        <color rgb="FF1F1F1F"/>
        <rFont val="Arial"/>
        <charset val="134"/>
      </rPr>
      <t>, 175.40°E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</si>
  <si>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：北方推力虽然活跃，但已被强力合拢的磁场“锁死”。</t>
    </r>
  </si>
  <si>
    <t>~6375</t>
  </si>
  <si>
    <t>88.91°N, 174.40°W</t>
  </si>
  <si>
    <t>极区热层维持高温，氢原子的“磁约束”效应明显。</t>
  </si>
  <si>
    <t>66.68°S, 130.56°E</t>
  </si>
  <si>
    <t>73.60°S, 184.20°E</t>
  </si>
  <si>
    <t>高层大气的氢原子云团在极点上空形成了一层极其致密的“镜像盖子”。</t>
  </si>
  <si>
    <t>~6390</t>
  </si>
  <si>
    <t>88.95°N, 175.52°W</t>
  </si>
  <si>
    <t>85.2°N, 155.8°E</t>
  </si>
  <si>
    <r>
      <rPr>
        <b/>
        <sz val="11"/>
        <color rgb="FF1F1F1F"/>
        <rFont val="Arial"/>
        <charset val="134"/>
      </rPr>
      <t>9月强耀斑影响</t>
    </r>
    <r>
      <rPr>
        <sz val="11"/>
        <color rgb="FF1F1F1F"/>
        <rFont val="Arial"/>
        <charset val="134"/>
      </rPr>
      <t>：极值中心发生显著的高纬偏移。</t>
    </r>
  </si>
  <si>
    <t>66.69°S, 130.51°E</t>
  </si>
  <si>
    <t>75.12°S, 198.60°E</t>
  </si>
  <si>
    <t>秋分。大气整体稳态达到了自2001年以来的最高水平。</t>
  </si>
  <si>
    <t>~6415</t>
  </si>
  <si>
    <t>+1.17°C</t>
  </si>
  <si>
    <t>89.00°N, 176.67°W</t>
  </si>
  <si>
    <t>77.5°N, 148.5°E</t>
  </si>
  <si>
    <r>
      <rPr>
        <b/>
        <sz val="11"/>
        <color rgb="FF1F1F1F"/>
        <rFont val="Arial"/>
        <charset val="134"/>
      </rPr>
      <t>10月1日突破</t>
    </r>
    <r>
      <rPr>
        <sz val="11"/>
        <color rgb="FF1F1F1F"/>
        <rFont val="Arial"/>
        <charset val="134"/>
      </rPr>
      <t xml:space="preserve">：磁极纬度正式触及 </t>
    </r>
    <r>
      <rPr>
        <b/>
        <sz val="11"/>
        <color rgb="FF1F1F1F"/>
        <rFont val="Arial"/>
        <charset val="134"/>
      </rPr>
      <t>89.0°N</t>
    </r>
    <r>
      <rPr>
        <sz val="11"/>
        <color rgb="FF1F1F1F"/>
        <rFont val="Arial"/>
        <charset val="134"/>
      </rPr>
      <t xml:space="preserve"> 关口。</t>
    </r>
  </si>
  <si>
    <t>66.71°S, 130.46°E</t>
  </si>
  <si>
    <t>78.45°S, 225.10°E</t>
  </si>
  <si>
    <t>极夜临近。系统不仅厚度大，且对宇宙射线的屏蔽效能极佳。</t>
  </si>
  <si>
    <t>~6435</t>
  </si>
  <si>
    <t>+1.15°C</t>
  </si>
  <si>
    <t>89.04°N, 177.86°W</t>
  </si>
  <si>
    <t>75.8°N, 141.2°E</t>
  </si>
  <si>
    <t>66.72°S, 130.41°E</t>
  </si>
  <si>
    <r>
      <rPr>
        <b/>
        <sz val="11"/>
        <color rgb="FF1F1F1F"/>
        <rFont val="Arial"/>
        <charset val="134"/>
      </rPr>
      <t>81.30°S</t>
    </r>
    <r>
      <rPr>
        <sz val="11"/>
        <color rgb="FF1F1F1F"/>
        <rFont val="Arial"/>
        <charset val="134"/>
      </rPr>
      <t>, 245.85°E</t>
    </r>
  </si>
  <si>
    <t>磁极与极点的距离已触手可及，地磁引力阱效应处于爆发状态。</t>
  </si>
  <si>
    <t>~6460</t>
  </si>
  <si>
    <t>89.09°N, 179.08°W</t>
  </si>
  <si>
    <t>74.0°N, 133.5°E</t>
  </si>
  <si>
    <t>全年结束，磁极位置已几乎与地理北极点重合。</t>
  </si>
  <si>
    <t>66.73°S, 130.36°E</t>
  </si>
  <si>
    <r>
      <rPr>
        <b/>
        <sz val="11"/>
        <color rgb="FF1F1F1F"/>
        <rFont val="Arial"/>
        <charset val="134"/>
      </rPr>
      <t>83.15°S</t>
    </r>
    <r>
      <rPr>
        <sz val="11"/>
        <color rgb="FF1F1F1F"/>
        <rFont val="Arial"/>
        <charset val="134"/>
      </rPr>
      <t>, 268.40°E</t>
    </r>
  </si>
  <si>
    <t>全年结束。厚度突破 470，这是跨越极点前最后的“结构性繁荣”。</t>
  </si>
  <si>
    <t>~6485</t>
  </si>
  <si>
    <t>日期 (2015年)</t>
  </si>
  <si>
    <t>89.13°N, 179.80°E</t>
  </si>
  <si>
    <t>72.2°N, 110.5°W</t>
  </si>
  <si>
    <r>
      <rPr>
        <b/>
        <sz val="11"/>
        <color rgb="FF1F1F1F"/>
        <rFont val="Arial"/>
        <charset val="134"/>
      </rPr>
      <t>经度跨越</t>
    </r>
    <r>
      <rPr>
        <sz val="11"/>
        <color rgb="FF1F1F1F"/>
        <rFont val="Arial"/>
        <charset val="134"/>
      </rPr>
      <t>：磁极正式进入东半球。冬季氢重心仍在加拿大北侧。</t>
    </r>
  </si>
  <si>
    <t>66.74°S, 130.31°E</t>
  </si>
  <si>
    <r>
      <rPr>
        <b/>
        <sz val="11"/>
        <color rgb="FF1F1F1F"/>
        <rFont val="Arial"/>
        <charset val="134"/>
      </rPr>
      <t>82.45°S</t>
    </r>
    <r>
      <rPr>
        <sz val="11"/>
        <color rgb="FF1F1F1F"/>
        <rFont val="Arial"/>
        <charset val="134"/>
      </rPr>
      <t>, 272.10°E</t>
    </r>
  </si>
  <si>
    <r>
      <rPr>
        <b/>
        <sz val="11"/>
        <color rgb="FF1F1F1F"/>
        <rFont val="Arial"/>
        <charset val="134"/>
      </rPr>
      <t>触顶特征</t>
    </r>
    <r>
      <rPr>
        <sz val="11"/>
        <color rgb="FF1F1F1F"/>
        <rFont val="Arial"/>
        <charset val="134"/>
      </rPr>
      <t>：达到二十年来的最高基准，磁瓶约束力达到极限。</t>
    </r>
  </si>
  <si>
    <t>89.18°N, 178.65°E</t>
  </si>
  <si>
    <t>72.8°N, 115.8°W</t>
  </si>
  <si>
    <t>极值中心经度随地轴倾角向西缓慢漂移。</t>
  </si>
  <si>
    <t>66.75°S, 130.26°E</t>
  </si>
  <si>
    <t>81.90°S, 268.45°E</t>
  </si>
  <si>
    <t>磁极的“贴身”效应让极点上空的大气层呈现极其致密的压缩态。</t>
  </si>
  <si>
    <t>~6520</t>
  </si>
  <si>
    <t>89.22°N, 177.52°E</t>
  </si>
  <si>
    <t>74.5°N, 122.5°W</t>
  </si>
  <si>
    <r>
      <rPr>
        <b/>
        <sz val="11"/>
        <color rgb="FF1F1F1F"/>
        <rFont val="Arial"/>
        <charset val="134"/>
      </rPr>
      <t>3月大磁暴前夕</t>
    </r>
    <r>
      <rPr>
        <sz val="11"/>
        <color rgb="FF1F1F1F"/>
        <rFont val="Arial"/>
        <charset val="134"/>
      </rPr>
      <t>：背景氢浓度因太阳风增强而抬升。</t>
    </r>
  </si>
  <si>
    <t>66.77°S, 130.21°E</t>
  </si>
  <si>
    <t>79.12°S, 245.80°E</t>
  </si>
  <si>
    <t>第24太阳周期开始缓慢下行，但能量惯性依然支撑着高位。</t>
  </si>
  <si>
    <t>~6545</t>
  </si>
  <si>
    <t>+1.22°C</t>
  </si>
  <si>
    <t>89.27°N, 176.41°E</t>
  </si>
  <si>
    <t>86.5°N, 150.2°E</t>
  </si>
  <si>
    <r>
      <rPr>
        <b/>
        <sz val="11"/>
        <color rgb="FF1F1F1F"/>
        <rFont val="Arial"/>
        <charset val="134"/>
      </rPr>
      <t>3月17日超强磁暴后</t>
    </r>
    <r>
      <rPr>
        <sz val="11"/>
        <color rgb="FF1F1F1F"/>
        <rFont val="Arial"/>
        <charset val="134"/>
      </rPr>
      <t>：氢极值中心被推向极点，位置极其靠北。</t>
    </r>
  </si>
  <si>
    <t>66.78°S, 130.16°E</t>
  </si>
  <si>
    <t>77.40°S, 228.15°E</t>
  </si>
  <si>
    <r>
      <rPr>
        <b/>
        <sz val="11"/>
        <color rgb="FF1F1F1F"/>
        <rFont val="Arial"/>
        <charset val="134"/>
      </rPr>
      <t>波动迹象</t>
    </r>
    <r>
      <rPr>
        <sz val="11"/>
        <color rgb="FF1F1F1F"/>
        <rFont val="Arial"/>
        <charset val="134"/>
      </rPr>
      <t>：尽管纬度差极小，但厚度出现非季节性的微弱回落。</t>
    </r>
  </si>
  <si>
    <t>~6570</t>
  </si>
  <si>
    <t>+1.25°C</t>
  </si>
  <si>
    <t>89.31°N, 175.32°E</t>
  </si>
  <si>
    <t>78.5°N, 138.5°W</t>
  </si>
  <si>
    <t>极昼效应叠加磁暴恢复期，氢分布重回常规轨道。</t>
  </si>
  <si>
    <t>66.79°S, 130.11°E</t>
  </si>
  <si>
    <t>75.35°S, 205.40°E</t>
  </si>
  <si>
    <t>进入极昼。结构虽然稳固，但高层粒子的“活跃度”异常增加。</t>
  </si>
  <si>
    <t>~6595</t>
  </si>
  <si>
    <t>+1.21°C</t>
  </si>
  <si>
    <t>89.36°N, 174.25°E</t>
  </si>
  <si>
    <t>81.2°N, 158.2°W</t>
  </si>
  <si>
    <t>夏至期间，极值中心纬度与磁极高度耦合。</t>
  </si>
  <si>
    <t>66.81°S, 130.06°E</t>
  </si>
  <si>
    <t>73.80°S, 192.10°E</t>
  </si>
  <si>
    <t>关键期：对比 2008 年同期（322），厚度足足高出了 110。</t>
  </si>
  <si>
    <t>~6615</t>
  </si>
  <si>
    <t>+1.26°C</t>
  </si>
  <si>
    <t>89.40°N, 173.20°E</t>
  </si>
  <si>
    <t>83.5°N, 176.5°E</t>
  </si>
  <si>
    <t>极值中心在东半球稳步向西偏移。</t>
  </si>
  <si>
    <t>66.82°S, 130.01°E</t>
  </si>
  <si>
    <r>
      <rPr>
        <b/>
        <sz val="11"/>
        <color rgb="FF1F1F1F"/>
        <rFont val="Arial"/>
        <charset val="134"/>
      </rPr>
      <t>72.65°S</t>
    </r>
    <r>
      <rPr>
        <sz val="11"/>
        <color rgb="FF1F1F1F"/>
        <rFont val="Arial"/>
        <charset val="134"/>
      </rPr>
      <t>, 182.35°E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</si>
  <si>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：北方推力被磁场锁死在极点，形成了一个极厚的“气团”。</t>
    </r>
  </si>
  <si>
    <t>+1.23°C</t>
  </si>
  <si>
    <t>89.45°N, 172.18°E</t>
  </si>
  <si>
    <t>极区热层受夏季辐射影响，氢原子分布范围较广。</t>
  </si>
  <si>
    <t>66.83°S, 129.96°E</t>
  </si>
  <si>
    <t>73.95°S, 191.20°E</t>
  </si>
  <si>
    <t>散逸层底部的氢原子浓度达到饱和，形成强力的电磁屏蔽层。</t>
  </si>
  <si>
    <t>~6630</t>
  </si>
  <si>
    <t>+1.27°C</t>
  </si>
  <si>
    <t>89.49°N, 171.18°E</t>
  </si>
  <si>
    <t>79.5°N, 158.8°E</t>
  </si>
  <si>
    <t>秋分效应，氢极值点从极点附近向南回落。</t>
  </si>
  <si>
    <t>66.85°S, 129.91°E</t>
  </si>
  <si>
    <t>75.20°S, 208.60°E</t>
  </si>
  <si>
    <t>秋分。大气层整体厚度在高位维持，表现出极强的“结构粘性”。</t>
  </si>
  <si>
    <t>+1.32°C</t>
  </si>
  <si>
    <t>89.54°N, 170.21°E</t>
  </si>
  <si>
    <t>77.8°N, 150.2°E</t>
  </si>
  <si>
    <t>磁极在极点附近的漂移路径已明显偏向西伯利亚。</t>
  </si>
  <si>
    <t>66.86°S, 129.86°E</t>
  </si>
  <si>
    <t>77.12°S, 232.15°E</t>
  </si>
  <si>
    <t>极夜临近。由于磁极即将“破位”，大气系统表现出一种临界态的张力。</t>
  </si>
  <si>
    <t>+1.35°C</t>
  </si>
  <si>
    <t>89.58°N, 169.27°E</t>
  </si>
  <si>
    <t>76.0°N, 142.5°E</t>
  </si>
  <si>
    <t>季节性南移，极值中心位于东西伯利亚海上空。</t>
  </si>
  <si>
    <t>66.87°S, 129.81°E</t>
  </si>
  <si>
    <r>
      <rPr>
        <b/>
        <sz val="11"/>
        <color rgb="FF1F1F1F"/>
        <rFont val="Arial"/>
        <charset val="134"/>
      </rPr>
      <t>79.80°S</t>
    </r>
    <r>
      <rPr>
        <sz val="11"/>
        <color rgb="FF1F1F1F"/>
        <rFont val="Arial"/>
        <charset val="134"/>
      </rPr>
      <t>, 255.40°E</t>
    </r>
  </si>
  <si>
    <t>太阳能量虽在减弱，但地磁结构的优化提供了超常的补偿。</t>
  </si>
  <si>
    <t>~6690</t>
  </si>
  <si>
    <t>+1.38°C</t>
  </si>
  <si>
    <t>89.63°N, 168.35°E</t>
  </si>
  <si>
    <t>74.2°N, 135.0°E</t>
  </si>
  <si>
    <r>
      <rPr>
        <sz val="11"/>
        <color rgb="FF1F1F1F"/>
        <rFont val="Arial"/>
        <charset val="134"/>
      </rPr>
      <t xml:space="preserve">全年结束，磁极纬度已逼近 </t>
    </r>
    <r>
      <rPr>
        <b/>
        <sz val="11"/>
        <color rgb="FF1F1F1F"/>
        <rFont val="Arial"/>
        <charset val="134"/>
      </rPr>
      <t>89.6°N</t>
    </r>
    <r>
      <rPr>
        <sz val="11"/>
        <color rgb="FF1F1F1F"/>
        <rFont val="Arial"/>
        <charset val="134"/>
      </rPr>
      <t>，离地理极点仅约 40 公里。</t>
    </r>
  </si>
  <si>
    <t>66.89°S, 129.76°E</t>
  </si>
  <si>
    <r>
      <rPr>
        <b/>
        <sz val="11"/>
        <color rgb="FF1F1F1F"/>
        <rFont val="Arial"/>
        <charset val="134"/>
      </rPr>
      <t>81.45°S</t>
    </r>
    <r>
      <rPr>
        <sz val="11"/>
        <color rgb="FF1F1F1F"/>
        <rFont val="Arial"/>
        <charset val="134"/>
      </rPr>
      <t>, 281.20°E</t>
    </r>
  </si>
  <si>
    <t>全年结束。厚度维持在 470 以上，准备迎接 2016 年的“跨极点”奇点。</t>
  </si>
  <si>
    <t>~6715</t>
  </si>
  <si>
    <t>+1.41°C</t>
  </si>
  <si>
    <t>日期 (2016年)</t>
  </si>
  <si>
    <t>89.67°N, 167.45°E</t>
  </si>
  <si>
    <t>72.0°N, 108.5°W</t>
  </si>
  <si>
    <t>冬季分布，磁极已位于东半球，但氢重心仍在加方一侧夜侧。</t>
  </si>
  <si>
    <t>66.90°S, 129.71°E</t>
  </si>
  <si>
    <r>
      <rPr>
        <b/>
        <sz val="11"/>
        <color rgb="FF1F1F1F"/>
        <rFont val="Arial"/>
        <charset val="134"/>
      </rPr>
      <t>80.85°S</t>
    </r>
    <r>
      <rPr>
        <sz val="11"/>
        <color rgb="FF1F1F1F"/>
        <rFont val="Arial"/>
        <charset val="134"/>
      </rPr>
      <t>, 275.40°E</t>
    </r>
  </si>
  <si>
    <t>雪崩验证：对比 2015 年 1 月的 475，厚度瞬间暴跌 80。</t>
  </si>
  <si>
    <t>89.71°N, 166.58°E</t>
  </si>
  <si>
    <t>72.5°N, 114.2°W</t>
  </si>
  <si>
    <t>极值中心经度西移，受太阳活动减弱影响，背景密度稳定。</t>
  </si>
  <si>
    <t>66.91°S, 129.66°E</t>
  </si>
  <si>
    <t>79.90°S, 268.12°E</t>
  </si>
  <si>
    <t>磁极跨越极点后，引力方向反转，极点上空的“磁瓶”瞬间破裂。</t>
  </si>
  <si>
    <t>+1.58°C</t>
  </si>
  <si>
    <t>89.76°N, 165.73°E</t>
  </si>
  <si>
    <t>74.2°N, 120.8°W</t>
  </si>
  <si>
    <t>春分前后，氢原子受热层环流带动，向高纬度缓慢扩张。</t>
  </si>
  <si>
    <t>66.93°S, 129.61°E</t>
  </si>
  <si>
    <t>78.15°S, 252.60°E</t>
  </si>
  <si>
    <t>春分。失去磁场保护的极点大气，在太阳辐射下发生剧烈的“散逸性逃逸”。</t>
  </si>
  <si>
    <t>+1.61°C</t>
  </si>
  <si>
    <t>89.80°N, 164.88°E</t>
  </si>
  <si>
    <t>76.0°N, 132.5°W</t>
  </si>
  <si>
    <t>磁极已几乎触及极点，氢分布形态呈现出极高的对称性。</t>
  </si>
  <si>
    <t>66.94°S, 129.56°E</t>
  </si>
  <si>
    <t>75.80°S, 230.15°E</t>
  </si>
  <si>
    <t>纬度差处于历史极高位，大气层厚度底座呈现结构性松动。</t>
  </si>
  <si>
    <t>~6700</t>
  </si>
  <si>
    <t>+1.48°C</t>
  </si>
  <si>
    <t>89.85°N, 164.05°E</t>
  </si>
  <si>
    <t>78.2°N, 145.8°W</t>
  </si>
  <si>
    <t>进入极昼期，光压与磁场共同重塑氢冕的空间拓扑。</t>
  </si>
  <si>
    <t>66.95°S, 129.51°E</t>
  </si>
  <si>
    <t>73.12°S, 212.40°E</t>
  </si>
  <si>
    <t>进入极昼。相比 2015 年（445），厚度防御力垂直跌落。</t>
  </si>
  <si>
    <t>~6720</t>
  </si>
  <si>
    <t>+1.39°C</t>
  </si>
  <si>
    <t>89.89°N, 163.24°E</t>
  </si>
  <si>
    <t>81.0°N, 172.5°W</t>
  </si>
  <si>
    <t>夏至前夕，极值中心经纬度达到年度高位。</t>
  </si>
  <si>
    <t>66.96°S, 129.46°E</t>
  </si>
  <si>
    <t>71.45°S, 198.90°E</t>
  </si>
  <si>
    <r>
      <rPr>
        <b/>
        <sz val="11"/>
        <color rgb="FF1F1F1F"/>
        <rFont val="Arial"/>
        <charset val="134"/>
      </rPr>
      <t>关键期</t>
    </r>
    <r>
      <rPr>
        <sz val="11"/>
        <color rgb="FF1F1F1F"/>
        <rFont val="Arial"/>
        <charset val="134"/>
      </rPr>
      <t>：这种塌陷速度甚至超过了 2008 年极小期。</t>
    </r>
  </si>
  <si>
    <t>~6745</t>
  </si>
  <si>
    <t>89.94°N, 162.45°E</t>
  </si>
  <si>
    <t>83.2°N, 178.5°E</t>
  </si>
  <si>
    <r>
      <rPr>
        <b/>
        <sz val="11"/>
        <color rgb="FF1F1F1F"/>
        <rFont val="Arial"/>
        <charset val="134"/>
      </rPr>
      <t>极点时刻</t>
    </r>
    <r>
      <rPr>
        <sz val="11"/>
        <color rgb="FF1F1F1F"/>
        <rFont val="Arial"/>
        <charset val="134"/>
      </rPr>
      <t>：磁极纬度已逼近极值，离地理极点仅余约6-10公里。</t>
    </r>
  </si>
  <si>
    <t>66.97°S, 129.41°E</t>
  </si>
  <si>
    <r>
      <rPr>
        <b/>
        <sz val="11"/>
        <color rgb="FF1F1F1F"/>
        <rFont val="Arial"/>
        <charset val="134"/>
      </rPr>
      <t>70.20°S</t>
    </r>
    <r>
      <rPr>
        <sz val="11"/>
        <color rgb="FF1F1F1F"/>
        <rFont val="Arial"/>
        <charset val="134"/>
      </rPr>
      <t>, 185.35°E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</si>
  <si>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：北方推力重新占据统治地位，将极点大气野蛮压薄。</t>
    </r>
  </si>
  <si>
    <t>~6770</t>
  </si>
  <si>
    <t>+1.28°C</t>
  </si>
  <si>
    <t>89.89°N, 161.68°E</t>
  </si>
  <si>
    <t>82.5°N, 168.2°E</t>
  </si>
  <si>
    <t>极区夏季高温，氢原子在磁场顶部呈冠状弥散分布。</t>
  </si>
  <si>
    <t>66.99°S, 129.36°E</t>
  </si>
  <si>
    <t>71.30°S, 192.10°E</t>
  </si>
  <si>
    <t>磁极在“对面”加速远离，极点上空的大气完整性降至冰点。</t>
  </si>
  <si>
    <t>~6795</t>
  </si>
  <si>
    <t>+1.36°C</t>
  </si>
  <si>
    <t>89.84°N, 160.93°E</t>
  </si>
  <si>
    <t>79.2°N, 158.5°E</t>
  </si>
  <si>
    <t>67.00°S, 129.31°E</t>
  </si>
  <si>
    <t>72.85°S, 210.40°E</t>
  </si>
  <si>
    <t>秋分。大气层整体厚度在低位徘徊，完全失去了 2015 年的强韧。</t>
  </si>
  <si>
    <t>~6765</t>
  </si>
  <si>
    <t>+1.29°C</t>
  </si>
  <si>
    <t>89.79°N, 160.21°E</t>
  </si>
  <si>
    <t>磁极开始其“南下西伯利亚”的征程。</t>
  </si>
  <si>
    <t>67.01°S, 129.26°E</t>
  </si>
  <si>
    <t>74.90°S, 235.15°E</t>
  </si>
  <si>
    <t>极夜临近。由于纬度差依然巨大，系统修复极其缓慢。</t>
  </si>
  <si>
    <t>89.74°N, 159.51°E</t>
  </si>
  <si>
    <t>75.8°N, 142.2°E</t>
  </si>
  <si>
    <t>季节性南移，极值中心回归西伯利亚东北近海。</t>
  </si>
  <si>
    <t>67.02°S, 129.21°E</t>
  </si>
  <si>
    <r>
      <rPr>
        <b/>
        <sz val="11"/>
        <color rgb="FF1F1F1F"/>
        <rFont val="Arial"/>
        <charset val="134"/>
      </rPr>
      <t>77.15°S</t>
    </r>
    <r>
      <rPr>
        <sz val="11"/>
        <color rgb="FF1F1F1F"/>
        <rFont val="Arial"/>
        <charset val="134"/>
      </rPr>
      <t>, 262.40°E</t>
    </r>
  </si>
  <si>
    <t>太阳活动进入第 24 周期的深衰减期，能量与结构双重匮乏。</t>
  </si>
  <si>
    <t>~6810</t>
  </si>
  <si>
    <t>89.69°N, 158.83°E</t>
  </si>
  <si>
    <t>74.0°N, 134.8°E</t>
  </si>
  <si>
    <t>全年结束，磁极纬度略微回落，但经度向俄罗斯方向加速。</t>
  </si>
  <si>
    <t>67.04°S, 129.16°E</t>
  </si>
  <si>
    <r>
      <rPr>
        <b/>
        <sz val="11"/>
        <color rgb="FF1F1F1F"/>
        <rFont val="Arial"/>
        <charset val="134"/>
      </rPr>
      <t>79.40°S</t>
    </r>
    <r>
      <rPr>
        <sz val="11"/>
        <color rgb="FF1F1F1F"/>
        <rFont val="Arial"/>
        <charset val="134"/>
      </rPr>
      <t>, 288.60°E</t>
    </r>
  </si>
  <si>
    <t>全年结束。对比 2015 年底（472），系统厚度整整蒸发了近 100。</t>
  </si>
  <si>
    <t>~6830</t>
  </si>
  <si>
    <t>日期 (2017年)</t>
  </si>
  <si>
    <t>89.64°N, 158.18°E</t>
  </si>
  <si>
    <t>72.0°N, 105.5°W</t>
  </si>
  <si>
    <t>冬季特征。磁极虽在东半球，但氢浓度的“夜侧堆积”效应仍偏向西半球。</t>
  </si>
  <si>
    <t>67.05°S, 129.11°E</t>
  </si>
  <si>
    <r>
      <rPr>
        <b/>
        <sz val="11"/>
        <color rgb="FF1F1F1F"/>
        <rFont val="Arial"/>
        <charset val="134"/>
      </rPr>
      <t>78.95°S</t>
    </r>
    <r>
      <rPr>
        <sz val="11"/>
        <color rgb="FF1F1F1F"/>
        <rFont val="Arial"/>
        <charset val="134"/>
      </rPr>
      <t>, 284.20°E</t>
    </r>
  </si>
  <si>
    <t>止跌回升：对比 2016 年 1 月的 395，厚度反弹了 15。</t>
  </si>
  <si>
    <t>~6845</t>
  </si>
  <si>
    <t>89.59°N, 157.55°E</t>
  </si>
  <si>
    <t>72.5°N, 110.2°W</t>
  </si>
  <si>
    <t>极值中心随地轴倾角向西缓慢漂移。</t>
  </si>
  <si>
    <t>67.06°S, 129.06°E</t>
  </si>
  <si>
    <t>78.10°S, 275.60°E</t>
  </si>
  <si>
    <t>磁极在极点“对面”建立新坐标，极点上空的约束力开始重新对齐。</t>
  </si>
  <si>
    <t>89.54°N, 156.95°E</t>
  </si>
  <si>
    <t>74.0°N, 118.5°W</t>
  </si>
  <si>
    <t>春分效应开始，氢原子受热层环流带动向北扩张。</t>
  </si>
  <si>
    <t>67.07°S, 129.01°E</t>
  </si>
  <si>
    <t>77.25°S, 260.40°E</t>
  </si>
  <si>
    <t>太阳第 24 周期接近尾声，外部能量处于极低水平，修复动力主要来自磁场位移。</t>
  </si>
  <si>
    <t>~6890</t>
  </si>
  <si>
    <t>89.49°N, 156.36°E</t>
  </si>
  <si>
    <t>75.8°N, 128.2°W</t>
  </si>
  <si>
    <t>磁极纬度开始下降，其对氢原子的“牵引半径”发生细微扩张。</t>
  </si>
  <si>
    <t>67.09°S, 128.96°E</t>
  </si>
  <si>
    <t>75.40°S, 238.15°E</t>
  </si>
  <si>
    <t>随着春季到来，由于纬度差依然巨大，厚度保持在敏感的低位。</t>
  </si>
  <si>
    <t>89.44°N, 155.80°E</t>
  </si>
  <si>
    <t>78.0°N, 142.5°W</t>
  </si>
  <si>
    <t>进入极昼期。磁极与极点的距离正在缓慢拉开。</t>
  </si>
  <si>
    <t>67.10°S, 128.91°E</t>
  </si>
  <si>
    <t>73.15°S, 215.40°E</t>
  </si>
  <si>
    <t>进入极昼。相比 2016 年的 350，结构性抗压能力有微弱改善。</t>
  </si>
  <si>
    <t>~6870</t>
  </si>
  <si>
    <t>89.39°N, 155.25°E</t>
  </si>
  <si>
    <t>80.8°N, 168.0°W</t>
  </si>
  <si>
    <t>夏至前夕，极值中心纬度与磁极纬度呈现高度同步。</t>
  </si>
  <si>
    <t>67.11°S, 128.86°E</t>
  </si>
  <si>
    <t>71.90°S, 202.80°E</t>
  </si>
  <si>
    <r>
      <rPr>
        <b/>
        <sz val="11"/>
        <color rgb="FF1F1F1F"/>
        <rFont val="Arial"/>
        <charset val="134"/>
      </rPr>
      <t>关键期</t>
    </r>
    <r>
      <rPr>
        <sz val="11"/>
        <color rgb="FF1F1F1F"/>
        <rFont val="Arial"/>
        <charset val="134"/>
      </rPr>
      <t>：虽然仍在低位，但厚度曲线已不再呈现“自由落体”态势。</t>
    </r>
  </si>
  <si>
    <t>~6895</t>
  </si>
  <si>
    <t>89.34°N, 154.73°E</t>
  </si>
  <si>
    <t>83.0°N, 178.5°E</t>
  </si>
  <si>
    <r>
      <rPr>
        <b/>
        <sz val="11"/>
        <color rgb="FF1F1F1F"/>
        <rFont val="Arial"/>
        <charset val="134"/>
      </rPr>
      <t>对称性转折</t>
    </r>
    <r>
      <rPr>
        <sz val="11"/>
        <color rgb="FF1F1F1F"/>
        <rFont val="Arial"/>
        <charset val="134"/>
      </rPr>
      <t>：极值中心在东半球经度上进一步向磁极靠拢。</t>
    </r>
  </si>
  <si>
    <t>67.12°S, 128.81°E</t>
  </si>
  <si>
    <r>
      <rPr>
        <b/>
        <sz val="11"/>
        <color rgb="FF1F1F1F"/>
        <rFont val="Arial"/>
        <charset val="134"/>
      </rPr>
      <t>70.40°S</t>
    </r>
    <r>
      <rPr>
        <sz val="11"/>
        <color rgb="FF1F1F1F"/>
        <rFont val="Arial"/>
        <charset val="134"/>
      </rPr>
      <t>, 192.15°E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</si>
  <si>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：北方推力依然强劲，但由于纬度差微调，极点上空的大气凝聚力稍有回升。</t>
    </r>
  </si>
  <si>
    <t>+1.10°C</t>
  </si>
  <si>
    <t>89.29°N, 154.21°E</t>
  </si>
  <si>
    <t>82.2°N, 170.5°E</t>
  </si>
  <si>
    <t>极区热层维持极小期的低温态，氢分布形态圆润。</t>
  </si>
  <si>
    <t>67.14°S, 128.76°E</t>
  </si>
  <si>
    <t>71.20°S, 198.40°E</t>
  </si>
  <si>
    <t>极点大气顶盖在极低能量背景下，开始适应“远距离磁约束”。</t>
  </si>
  <si>
    <t>89.24°N, 153.72°E</t>
  </si>
  <si>
    <t>67.15°S, 128.71°E</t>
  </si>
  <si>
    <t>72.85°S, 212.60°E</t>
  </si>
  <si>
    <t>秋分。大气层整体厚度正在从 2016 年的脉冲式重挫中逐渐复原。</t>
  </si>
  <si>
    <t>89.19°N, 153.25°E</t>
  </si>
  <si>
    <t>磁极加速滑向西伯利亚。注意：氢中心经度正紧跟磁极。</t>
  </si>
  <si>
    <t>67.16°S, 128.66°E</t>
  </si>
  <si>
    <t>74.30°S, 235.10°E</t>
  </si>
  <si>
    <t>极夜临近。地磁场在东半球方向的投影开始为极点提供新的支撑。</t>
  </si>
  <si>
    <t>~6885</t>
  </si>
  <si>
    <t>+1.16°C</t>
  </si>
  <si>
    <t>89.14°N, 152.79°E</t>
  </si>
  <si>
    <t>75.5°N, 144.5°E</t>
  </si>
  <si>
    <t>季节性南移，极值中心位于西伯利亚东北部海岸。</t>
  </si>
  <si>
    <t>67.17°S, 128.61°E</t>
  </si>
  <si>
    <r>
      <rPr>
        <b/>
        <sz val="11"/>
        <color rgb="FF1F1F1F"/>
        <rFont val="Arial"/>
        <charset val="134"/>
      </rPr>
      <t>76.85°S</t>
    </r>
    <r>
      <rPr>
        <sz val="11"/>
        <color rgb="FF1F1F1F"/>
        <rFont val="Arial"/>
        <charset val="134"/>
      </rPr>
      <t>, 264.40°E</t>
    </r>
  </si>
  <si>
    <t>全球地磁活动处于宁静期，有助于大气层内部结构的稳固。</t>
  </si>
  <si>
    <t>~6915</t>
  </si>
  <si>
    <t>89.09°N, 152.34°E</t>
  </si>
  <si>
    <t>73.8°N, 136.2°E</t>
  </si>
  <si>
    <r>
      <rPr>
        <sz val="11"/>
        <color rgb="FF1F1F1F"/>
        <rFont val="Arial"/>
        <charset val="134"/>
      </rPr>
      <t xml:space="preserve">全年结束。磁极纬度已降至 </t>
    </r>
    <r>
      <rPr>
        <b/>
        <sz val="11"/>
        <color rgb="FF1F1F1F"/>
        <rFont val="Arial"/>
        <charset val="134"/>
      </rPr>
      <t>89.1°N</t>
    </r>
    <r>
      <rPr>
        <sz val="11"/>
        <color rgb="FF1F1F1F"/>
        <rFont val="Arial"/>
        <charset val="134"/>
      </rPr>
      <t xml:space="preserve"> 附近。</t>
    </r>
  </si>
  <si>
    <t>67.19°S, 128.56°E</t>
  </si>
  <si>
    <r>
      <rPr>
        <b/>
        <sz val="11"/>
        <color rgb="FF1F1F1F"/>
        <rFont val="Arial"/>
        <charset val="134"/>
      </rPr>
      <t>78.20°S</t>
    </r>
    <r>
      <rPr>
        <sz val="11"/>
        <color rgb="FF1F1F1F"/>
        <rFont val="Arial"/>
        <charset val="134"/>
      </rPr>
      <t>, 289.15°E</t>
    </r>
  </si>
  <si>
    <t>全年结束。对比 2016 年底（382），实现了约 33 的底部修复。</t>
  </si>
  <si>
    <t>~6940</t>
  </si>
  <si>
    <t>日期 (2018年)</t>
  </si>
  <si>
    <t>89.05°N, 151.90°E</t>
  </si>
  <si>
    <t>72.0°N, 103.5°W</t>
  </si>
  <si>
    <t>冬季特征。磁极继续南下，经度稳定在东半球。</t>
  </si>
  <si>
    <t>67.20°S, 128.51°E</t>
  </si>
  <si>
    <r>
      <rPr>
        <b/>
        <sz val="11"/>
        <color rgb="FF1F1F1F"/>
        <rFont val="Arial"/>
        <charset val="134"/>
      </rPr>
      <t>77.85°S</t>
    </r>
    <r>
      <rPr>
        <sz val="11"/>
        <color rgb="FF1F1F1F"/>
        <rFont val="Arial"/>
        <charset val="134"/>
      </rPr>
      <t>, 292.40°E</t>
    </r>
  </si>
  <si>
    <t>稳健修复：对比2017年的410，厚度在极小期背景下逆势上涨。</t>
  </si>
  <si>
    <t>89.00°N, 151.48°E</t>
  </si>
  <si>
    <t>72.8°N, 108.2°W</t>
  </si>
  <si>
    <t>极小期背景下，氢浓度分布极其平滑且对称。</t>
  </si>
  <si>
    <t>67.21°S, 128.46°E</t>
  </si>
  <si>
    <t>77.10°S, 285.15°E</t>
  </si>
  <si>
    <t>磁极在西伯利亚侧的锚定效应增强，极点“磁瓶”边缘开始合拢。</t>
  </si>
  <si>
    <t>~6965</t>
  </si>
  <si>
    <t>88.95°N, 151.07°E</t>
  </si>
  <si>
    <t>74.0°N, 115.8°W</t>
  </si>
  <si>
    <t>春分期间，氢原子随热层轻微膨胀向极区扩散。</t>
  </si>
  <si>
    <t>67.23°S, 128.41°E</t>
  </si>
  <si>
    <t>76.25°S, 272.40°E</t>
  </si>
  <si>
    <t>太阳极静，大气层完全依赖地磁结构的“结构性浮力”维持高度。</t>
  </si>
  <si>
    <t>~6980</t>
  </si>
  <si>
    <t>88.90°N, 150.68°E</t>
  </si>
  <si>
    <t>75.5°N, 124.2°W</t>
  </si>
  <si>
    <r>
      <rPr>
        <b/>
        <sz val="11"/>
        <color rgb="FF1F1F1F"/>
        <rFont val="Arial"/>
        <charset val="134"/>
      </rPr>
      <t>4月1日里程碑</t>
    </r>
    <r>
      <rPr>
        <sz val="11"/>
        <color rgb="FF1F1F1F"/>
        <rFont val="Arial"/>
        <charset val="134"/>
      </rPr>
      <t xml:space="preserve">：磁极纬度正式跌破 </t>
    </r>
    <r>
      <rPr>
        <b/>
        <sz val="11"/>
        <color rgb="FF1F1F1F"/>
        <rFont val="Arial"/>
        <charset val="134"/>
      </rPr>
      <t>89°N</t>
    </r>
    <r>
      <rPr>
        <sz val="11"/>
        <color rgb="FF1F1F1F"/>
        <rFont val="Arial"/>
        <charset val="134"/>
      </rPr>
      <t>，进入“下行阶段”。</t>
    </r>
  </si>
  <si>
    <t>67.24°S, 128.36°E</t>
  </si>
  <si>
    <t>74.90°S, 255.80°E</t>
  </si>
  <si>
    <t>纬度差的缩减降低了散逸层粒子的横向逃逸率。</t>
  </si>
  <si>
    <t>88.85°N, 150.31°E</t>
  </si>
  <si>
    <t>77.8°N, 138.5°W</t>
  </si>
  <si>
    <t>进入极昼。光压效应在极小期显得尤为突出。</t>
  </si>
  <si>
    <t>67.25°S, 128.31°E</t>
  </si>
  <si>
    <t>72.80°S, 228.40°E</t>
  </si>
  <si>
    <t>进入极昼。相比2016年塌陷期的350，防御基准线上移明显。</t>
  </si>
  <si>
    <t>~6970</t>
  </si>
  <si>
    <t>88.81°N, 149.95°E</t>
  </si>
  <si>
    <t>夏至前夕，极值中心纬度与磁极纬度保持约 8 度的偏差。</t>
  </si>
  <si>
    <t>67.26°S, 128.26°E</t>
  </si>
  <si>
    <t>71.15°S, 210.60°E</t>
  </si>
  <si>
    <t>关键期：在缺乏太阳辐射撑起热层的情况下，厚度依然保持在380以上。</t>
  </si>
  <si>
    <t>~6990</t>
  </si>
  <si>
    <t>88.76°N, 149.61°E</t>
  </si>
  <si>
    <t>82.8°N, 179.2°E</t>
  </si>
  <si>
    <t>极值中心经度开始向磁极经度（150°E附近）加速靠拢。</t>
  </si>
  <si>
    <t>67.28°S, 128.21°E</t>
  </si>
  <si>
    <r>
      <rPr>
        <b/>
        <sz val="11"/>
        <color rgb="FF1F1F1F"/>
        <rFont val="Arial"/>
        <charset val="134"/>
      </rPr>
      <t>69.85°S</t>
    </r>
    <r>
      <rPr>
        <sz val="11"/>
        <color rgb="FF1F1F1F"/>
        <rFont val="Arial"/>
        <charset val="134"/>
      </rPr>
      <t>, 195.45°E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</si>
  <si>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：北方推力在弱能量背景下，难以撼动已趋于稳固的磁场防线。</t>
    </r>
  </si>
  <si>
    <t>88.71°N, 149.28°E</t>
  </si>
  <si>
    <t>81.5°N, 172.5°E</t>
  </si>
  <si>
    <t>极区夏季末期，氢分布展现出高度的磁场锁定性。</t>
  </si>
  <si>
    <t>67.29°S, 128.16°E</t>
  </si>
  <si>
    <t>70.90°S, 202.80°E</t>
  </si>
  <si>
    <t>极点大气顶盖表现出极强的“自持性”，厚度中枢稳步抬升。</t>
  </si>
  <si>
    <t>~7030</t>
  </si>
  <si>
    <t>88.66°N, 148.97°E</t>
  </si>
  <si>
    <t>78.8°N, 162.4°E</t>
  </si>
  <si>
    <t>67.30°S, 128.11°E</t>
  </si>
  <si>
    <t>72.35°S, 225.10°E</t>
  </si>
  <si>
    <t>秋分。大气层整体厚度脱离了“危险区”，进入“稳态区”。</t>
  </si>
  <si>
    <t>~7045</t>
  </si>
  <si>
    <t>88.61°N, 148.67°E</t>
  </si>
  <si>
    <t>77.0°N, 155.2°E</t>
  </si>
  <si>
    <t>磁极在西伯利亚一侧的经度偏移变得愈发果决。</t>
  </si>
  <si>
    <t>67.32°S, 128.06°E</t>
  </si>
  <si>
    <t>74.10°S, 258.40°E</t>
  </si>
  <si>
    <t>极夜临近。由于纬度差持续收窄，极点屏蔽效应得到实质性加固。</t>
  </si>
  <si>
    <t>~7060</t>
  </si>
  <si>
    <t>88.56°N, 148.38°E</t>
  </si>
  <si>
    <t>75.2°N, 146.8°E</t>
  </si>
  <si>
    <t>季节性南移，极值中心位于西伯利亚东北部海岸线上空。</t>
  </si>
  <si>
    <t>67.33°S, 128.01°E</t>
  </si>
  <si>
    <r>
      <rPr>
        <b/>
        <sz val="11"/>
        <color rgb="FF1F1F1F"/>
        <rFont val="Arial"/>
        <charset val="134"/>
      </rPr>
      <t>76.45°S</t>
    </r>
    <r>
      <rPr>
        <sz val="11"/>
        <color rgb="FF1F1F1F"/>
        <rFont val="Arial"/>
        <charset val="134"/>
      </rPr>
      <t>, 288.10°E</t>
    </r>
  </si>
  <si>
    <t>外部能量虽然匮乏，但地磁结构的修复效率抵消了能量不足。</t>
  </si>
  <si>
    <t>~7085</t>
  </si>
  <si>
    <t>88.51°N, 148.11°E</t>
  </si>
  <si>
    <t>73.5°N, 138.5°E</t>
  </si>
  <si>
    <r>
      <rPr>
        <sz val="11"/>
        <color rgb="FF1F1F1F"/>
        <rFont val="Arial"/>
        <charset val="134"/>
      </rPr>
      <t xml:space="preserve">全年结束。磁极已降至 </t>
    </r>
    <r>
      <rPr>
        <b/>
        <sz val="11"/>
        <color rgb="FF1F1F1F"/>
        <rFont val="Arial"/>
        <charset val="134"/>
      </rPr>
      <t>88.5°N</t>
    </r>
    <r>
      <rPr>
        <sz val="11"/>
        <color rgb="FF1F1F1F"/>
        <rFont val="Arial"/>
        <charset val="134"/>
      </rPr>
      <t>，向西伯利亚核心区域挺进。</t>
    </r>
  </si>
  <si>
    <t>67.35°S, 127.96°E</t>
  </si>
  <si>
    <r>
      <rPr>
        <b/>
        <sz val="11"/>
        <color rgb="FF1F1F1F"/>
        <rFont val="Arial"/>
        <charset val="134"/>
      </rPr>
      <t>77.90°S</t>
    </r>
    <r>
      <rPr>
        <sz val="11"/>
        <color rgb="FF1F1F1F"/>
        <rFont val="Arial"/>
        <charset val="134"/>
      </rPr>
      <t>, 305.60°E</t>
    </r>
  </si>
  <si>
    <t>全年结束。对比2016年（382），系统完成了跨极点后的第一阶段重建。</t>
  </si>
  <si>
    <t>~7110</t>
  </si>
  <si>
    <t>+1.13°C</t>
  </si>
  <si>
    <t>日期 (2019年)</t>
  </si>
  <si>
    <t>88.47°N, 147.85°E</t>
  </si>
  <si>
    <t>72.0°N, 102.5°W</t>
  </si>
  <si>
    <t>冬季分布，磁极在东半球稳步南移。</t>
  </si>
  <si>
    <t>67.36°S, 127.91°E</t>
  </si>
  <si>
    <r>
      <rPr>
        <b/>
        <sz val="11"/>
        <color rgb="FF1F1F1F"/>
        <rFont val="Arial"/>
        <charset val="134"/>
      </rPr>
      <t>77.40°S</t>
    </r>
    <r>
      <rPr>
        <sz val="11"/>
        <color rgb="FF1F1F1F"/>
        <rFont val="Arial"/>
        <charset val="134"/>
      </rPr>
      <t>, 301.20°E</t>
    </r>
  </si>
  <si>
    <t>反弹加速：对比2018年的425，结构优化带来的修复斜率在变陡。</t>
  </si>
  <si>
    <t>~7115</t>
  </si>
  <si>
    <t>88.42°N, 147.60°E</t>
  </si>
  <si>
    <t>72.8°N, 107.5°W</t>
  </si>
  <si>
    <t>极小期背景，氢密度整体稳定，受外部扰动极小。</t>
  </si>
  <si>
    <t>67.37°S, 127.86°E</t>
  </si>
  <si>
    <t>76.95°S, 295.40°E</t>
  </si>
  <si>
    <t>磁极在西伯利亚侧稳步推进，极点上空的磁瓶深度进一步增加。</t>
  </si>
  <si>
    <t>~7130</t>
  </si>
  <si>
    <t>88.37°N, 147.37°E</t>
  </si>
  <si>
    <t>74.0°N, 115.2°W</t>
  </si>
  <si>
    <t>春分效应，氢极值点开始由加拿大侧向极区扩张。</t>
  </si>
  <si>
    <t>67.39°S, 127.81°E</t>
  </si>
  <si>
    <t>75.80°S, 282.15°E</t>
  </si>
  <si>
    <t>春分点。地磁屏障的优化有效抵御了即便非常微弱的宇宙射线干扰。</t>
  </si>
  <si>
    <t>~7150</t>
  </si>
  <si>
    <t>+1.31°C</t>
  </si>
  <si>
    <t>88.33°N, 147.16°E</t>
  </si>
  <si>
    <t>75.8°N, 125.8°W</t>
  </si>
  <si>
    <t>热层受微弱季节性加热，氢分布呈现典型“钟摆”移动。</t>
  </si>
  <si>
    <t>67.40°S, 127.76°E</t>
  </si>
  <si>
    <t>73.45°S, 260.80°E</t>
  </si>
  <si>
    <t>系统展现出极强的自愈力，厚度基准线已彻底摆脱塌陷阴影。</t>
  </si>
  <si>
    <t>~7175</t>
  </si>
  <si>
    <t>88.28°N, 146.96°E</t>
  </si>
  <si>
    <t>78.5°N, 138.2°W</t>
  </si>
  <si>
    <t>进入极昼，光压驱动氢原子向磁场高纬区汇聚。</t>
  </si>
  <si>
    <t>67.41°S, 127.71°E</t>
  </si>
  <si>
    <t>71.20°S, 235.10°E</t>
  </si>
  <si>
    <t>进入极昼。相比2016年同期（350），厚度防御力提升了62。</t>
  </si>
  <si>
    <t>~7160</t>
  </si>
  <si>
    <t>88.24°N, 146.78°E</t>
  </si>
  <si>
    <t>80.8°N, 162.5°W</t>
  </si>
  <si>
    <t>夏至前夕，极值中心经纬度达到年度观测峰值。</t>
  </si>
  <si>
    <t>67.42°S, 127.66°E</t>
  </si>
  <si>
    <t>69.85°S, 212.40°E</t>
  </si>
  <si>
    <t>关键期：在太阳极小期，厚度依然能维持在接近400的水平，极为罕见。</t>
  </si>
  <si>
    <t>~7185</t>
  </si>
  <si>
    <t>+1.34°C</t>
  </si>
  <si>
    <t>88.20°N, 146.61°E</t>
  </si>
  <si>
    <t>极值中心进入东半球，与磁极维持强耦合。</t>
  </si>
  <si>
    <t>67.43°S, 127.61°E</t>
  </si>
  <si>
    <r>
      <rPr>
        <b/>
        <sz val="11"/>
        <color rgb="FF1F1F1F"/>
        <rFont val="Arial"/>
        <charset val="134"/>
      </rPr>
      <t>68.65°S</t>
    </r>
    <r>
      <rPr>
        <sz val="11"/>
        <color rgb="FF1F1F1F"/>
        <rFont val="Arial"/>
        <charset val="134"/>
      </rPr>
      <t>, 198.15°E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</si>
  <si>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：北方推力在极度寒冷的热层面前完全失去了“压缩”能力。</t>
    </r>
  </si>
  <si>
    <t>~7200</t>
  </si>
  <si>
    <t>+1.37°C</t>
  </si>
  <si>
    <t>88.16°N, 146.46°E</t>
  </si>
  <si>
    <t>82.5°N, 170.8°E</t>
  </si>
  <si>
    <t>太阳活动极小期低位，氢逃逸速率维持在历史低水平。</t>
  </si>
  <si>
    <t>67.45°S, 127.56°E</t>
  </si>
  <si>
    <t>69.70°S, 205.80°E</t>
  </si>
  <si>
    <t>极点大气表现出高度的稳定态，粒子逃逸率降至周期内低位。</t>
  </si>
  <si>
    <t>~7190</t>
  </si>
  <si>
    <t>+1.30°C</t>
  </si>
  <si>
    <t>88.11°N, 146.33°E</t>
  </si>
  <si>
    <t>79.8°N, 161.2°E</t>
  </si>
  <si>
    <t>67.46°S, 127.51°E</t>
  </si>
  <si>
    <t>71.12°S, 222.40°E</t>
  </si>
  <si>
    <t>秋分。大气层整体厚度重新回到了2013年时的“高饱满”区间。</t>
  </si>
  <si>
    <t>~7215</t>
  </si>
  <si>
    <t>88.07°N, 146.21°E</t>
  </si>
  <si>
    <t>77.5°N, 154.5°E</t>
  </si>
  <si>
    <t>磁极加速滑向西伯利亚，氢中心同步经度西移。</t>
  </si>
  <si>
    <t>67.47°S, 127.46°E</t>
  </si>
  <si>
    <t>73.40°S, 245.90°E</t>
  </si>
  <si>
    <t>极夜临近。由于纬度差持续收窄，极点对高能粒子的捕捉效率大幅提升。</t>
  </si>
  <si>
    <t>~7225</t>
  </si>
  <si>
    <t>88.03°N, 146.11°E</t>
  </si>
  <si>
    <t>75.8°N, 145.2°E</t>
  </si>
  <si>
    <t>季节性南移，极值中心回归西伯利亚东北海岸。</t>
  </si>
  <si>
    <t>67.48°S, 127.41°E</t>
  </si>
  <si>
    <r>
      <rPr>
        <b/>
        <sz val="11"/>
        <color rgb="FF1F1F1F"/>
        <rFont val="Arial"/>
        <charset val="134"/>
      </rPr>
      <t>75.90°S</t>
    </r>
    <r>
      <rPr>
        <sz val="11"/>
        <color rgb="FF1F1F1F"/>
        <rFont val="Arial"/>
        <charset val="134"/>
      </rPr>
      <t>, 272.10°E</t>
    </r>
  </si>
  <si>
    <t>即使太阳周期还没开始爬坡，地磁结构已经提前完成了“地基”加固。</t>
  </si>
  <si>
    <t>~7240</t>
  </si>
  <si>
    <t>87.98°N, 146.03°E</t>
  </si>
  <si>
    <t>74.2°N, 138.8°E</t>
  </si>
  <si>
    <r>
      <rPr>
        <b/>
        <sz val="11"/>
        <color rgb="FF1F1F1F"/>
        <rFont val="Arial"/>
        <charset val="134"/>
      </rPr>
      <t>年终突破</t>
    </r>
    <r>
      <rPr>
        <sz val="11"/>
        <color rgb="FF1F1F1F"/>
        <rFont val="Arial"/>
        <charset val="134"/>
      </rPr>
      <t xml:space="preserve">：磁极纬度跌破 </t>
    </r>
    <r>
      <rPr>
        <b/>
        <sz val="11"/>
        <color rgb="FF1F1F1F"/>
        <rFont val="Arial"/>
        <charset val="134"/>
      </rPr>
      <t>88.0°N</t>
    </r>
    <r>
      <rPr>
        <sz val="11"/>
        <color rgb="FF1F1F1F"/>
        <rFont val="Arial"/>
        <charset val="134"/>
      </rPr>
      <t>，加速离开极点区。</t>
    </r>
  </si>
  <si>
    <t>67.50°S, 127.36°E</t>
  </si>
  <si>
    <r>
      <rPr>
        <b/>
        <sz val="11"/>
        <color rgb="FF1F1F1F"/>
        <rFont val="Arial"/>
        <charset val="134"/>
      </rPr>
      <t>77.15°S</t>
    </r>
    <r>
      <rPr>
        <sz val="11"/>
        <color rgb="FF1F1F1F"/>
        <rFont val="Arial"/>
        <charset val="134"/>
      </rPr>
      <t>, 294.80°E</t>
    </r>
  </si>
  <si>
    <t>全年结束。对比2016年（382），大气层厚度已回升了66。</t>
  </si>
  <si>
    <t>~7250</t>
  </si>
  <si>
    <t>日期 (2020年)</t>
  </si>
  <si>
    <t>87.93°N, 145.96°E</t>
  </si>
  <si>
    <t>72.0°N, 101.5°W</t>
  </si>
  <si>
    <t>冬季特征。磁极经度锚定在东半球。</t>
  </si>
  <si>
    <t>67.51°S, 127.31°E</t>
  </si>
  <si>
    <r>
      <rPr>
        <b/>
        <sz val="11"/>
        <color rgb="FF1F1F1F"/>
        <rFont val="Arial"/>
        <charset val="134"/>
      </rPr>
      <t>77.60°S</t>
    </r>
    <r>
      <rPr>
        <sz val="11"/>
        <color rgb="FF1F1F1F"/>
        <rFont val="Arial"/>
        <charset val="134"/>
      </rPr>
      <t>, 298.40°E</t>
    </r>
  </si>
  <si>
    <t>加速反弹：对比2019年的438，厚度涨幅达17，显示出强劲的动力。</t>
  </si>
  <si>
    <t>~7235</t>
  </si>
  <si>
    <t>87.89°N, 145.90°E</t>
  </si>
  <si>
    <t>72.8°N, 106.8°W</t>
  </si>
  <si>
    <t>新周期初期，背景氢浓度依然维持在较低的平稳态。</t>
  </si>
  <si>
    <t>67.52°S, 127.26°E</t>
  </si>
  <si>
    <t>77.10°S, 292.15°E</t>
  </si>
  <si>
    <t>磁极在西伯利亚侧的引力锚定愈发稳固，垂直约束力增强。</t>
  </si>
  <si>
    <t>~7220</t>
  </si>
  <si>
    <t>87.84°N, 145.85°E</t>
  </si>
  <si>
    <t>74.5°N, 114.2°W</t>
  </si>
  <si>
    <t>春分效应。受太阳活动微弱回升影响，极区氢激发开始增加。</t>
  </si>
  <si>
    <t>67.54°S, 127.21°E</t>
  </si>
  <si>
    <t>75.95°S, 280.60°E</t>
  </si>
  <si>
    <t>春分。新周期的太阳紫外线流量开始爬坡，热层顶受热膨胀。</t>
  </si>
  <si>
    <t>~7205</t>
  </si>
  <si>
    <t>87.80°N, 145.81°E</t>
  </si>
  <si>
    <t>76.2°N, 122.5°W</t>
  </si>
  <si>
    <t>氢中心向极区靠拢，受磁极南移影响，其路径较往年偏西。</t>
  </si>
  <si>
    <t>67.55°S, 127.16°E</t>
  </si>
  <si>
    <t>73.80°S, 262.15°E</t>
  </si>
  <si>
    <t>系统表现出极高的结构韧性，彻底告别了跨极点初期的脆弱态。</t>
  </si>
  <si>
    <t>87.75°N, 145.78°E</t>
  </si>
  <si>
    <t>78.5°N, 136.8°W</t>
  </si>
  <si>
    <r>
      <rPr>
        <sz val="11"/>
        <color rgb="FF1F1F1F"/>
        <rFont val="Arial"/>
        <charset val="134"/>
      </rPr>
      <t xml:space="preserve">极昼开启。磁极已下滑至 </t>
    </r>
    <r>
      <rPr>
        <b/>
        <sz val="11"/>
        <color rgb="FF1F1F1F"/>
        <rFont val="Arial"/>
        <charset val="134"/>
      </rPr>
      <t>87.7°N</t>
    </r>
    <r>
      <rPr>
        <sz val="11"/>
        <color rgb="FF1F1F1F"/>
        <rFont val="Arial"/>
        <charset val="134"/>
      </rPr>
      <t xml:space="preserve"> 附近。</t>
    </r>
  </si>
  <si>
    <t>67.56°S, 127.11°E</t>
  </si>
  <si>
    <t>71.45°S, 238.40°E</t>
  </si>
  <si>
    <t>进入极昼。相比2016年塌陷期的350，厚度已经整整高出了80。</t>
  </si>
  <si>
    <t>87.70°N, 145.75°E</t>
  </si>
  <si>
    <t>80.8°N, 160.2°W</t>
  </si>
  <si>
    <t>夏至前夕，氢分布展现出受磁场与光压双重挤压的形态。</t>
  </si>
  <si>
    <t>67.57°S, 127.06°E</t>
  </si>
  <si>
    <t>69.90°S, 215.10°E</t>
  </si>
  <si>
    <t>关键期：虽然季节性热压存在，但在双重利好下，厚度维持在420高位。</t>
  </si>
  <si>
    <t>~7140</t>
  </si>
  <si>
    <t>87.66°N, 145.74°E</t>
  </si>
  <si>
    <t>83.5°N, 178.0°E</t>
  </si>
  <si>
    <t>67.58°S, 127.01°E</t>
  </si>
  <si>
    <r>
      <rPr>
        <b/>
        <sz val="11"/>
        <color rgb="FF1F1F1F"/>
        <rFont val="Arial"/>
        <charset val="134"/>
      </rPr>
      <t>68.95°S</t>
    </r>
    <r>
      <rPr>
        <sz val="11"/>
        <color rgb="FF1F1F1F"/>
        <rFont val="Arial"/>
        <charset val="134"/>
      </rPr>
      <t>, 198.80°E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</si>
  <si>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：北方推力在增强的磁场“盖子”面前，已无法显著压薄大气层。</t>
    </r>
  </si>
  <si>
    <t>~7125</t>
  </si>
  <si>
    <t>87.61°N, 145.73°E</t>
  </si>
  <si>
    <t>82.2°N, 172.5°E</t>
  </si>
  <si>
    <r>
      <rPr>
        <b/>
        <sz val="11"/>
        <color rgb="FF1F1F1F"/>
        <rFont val="Arial"/>
        <charset val="134"/>
      </rPr>
      <t>8月小规模磁扰</t>
    </r>
    <r>
      <rPr>
        <sz val="11"/>
        <color rgb="FF1F1F1F"/>
        <rFont val="Arial"/>
        <charset val="134"/>
      </rPr>
      <t>：氢密度极值出现非周期性增强。</t>
    </r>
  </si>
  <si>
    <t>67.60°S, 126.96°E</t>
  </si>
  <si>
    <t>70.12°S, 210.45°E</t>
  </si>
  <si>
    <t>底部热力输送与高层磁场锁定达成平衡，大气密度维持饱和。</t>
  </si>
  <si>
    <t>~7095</t>
  </si>
  <si>
    <t>87.57°N, 145.73°E</t>
  </si>
  <si>
    <t>79.5°N, 162.8°E</t>
  </si>
  <si>
    <t>67.61°S, 126.91°E</t>
  </si>
  <si>
    <t>71.85°S, 232.60°E</t>
  </si>
  <si>
    <t>秋分。大气层整体厚度正在向跨极点前的历史极值（475）发起冲刺。</t>
  </si>
  <si>
    <t>~7070</t>
  </si>
  <si>
    <t>87.52°N, 145.74°E</t>
  </si>
  <si>
    <t>77.8°N, 153.5°E</t>
  </si>
  <si>
    <t>磁极纬度持续走低。氢中心紧随磁极轴向。</t>
  </si>
  <si>
    <t>67.62°S, 126.86°E</t>
  </si>
  <si>
    <t>74.30°S, 265.15°E</t>
  </si>
  <si>
    <t>极夜临近。由于纬度差持续优化，极点对能量粒子的捕捉效率极高。</t>
  </si>
  <si>
    <t>+1.33°C</t>
  </si>
  <si>
    <t>87.48°N, 145.76°E</t>
  </si>
  <si>
    <t>季节性南移，极值中心位于西伯利亚东北海岸线上空。</t>
  </si>
  <si>
    <t>67.63°S, 126.81°E</t>
  </si>
  <si>
    <r>
      <rPr>
        <b/>
        <sz val="11"/>
        <color rgb="FF1F1F1F"/>
        <rFont val="Arial"/>
        <charset val="134"/>
      </rPr>
      <t>77.15°S</t>
    </r>
    <r>
      <rPr>
        <sz val="11"/>
        <color rgb="FF1F1F1F"/>
        <rFont val="Arial"/>
        <charset val="134"/>
      </rPr>
      <t>, 290.40°E</t>
    </r>
  </si>
  <si>
    <t>太阳活动进入活跃期，大气层厚度呈现出一种“充盈且坚固”的局势。</t>
  </si>
  <si>
    <t>+1.40°C</t>
  </si>
  <si>
    <t>87.43°N, 145.78°E</t>
  </si>
  <si>
    <t>74.2°N, 139.5°E</t>
  </si>
  <si>
    <r>
      <rPr>
        <sz val="11"/>
        <color rgb="FF1F1F1F"/>
        <rFont val="Arial"/>
        <charset val="134"/>
      </rPr>
      <t xml:space="preserve">全年结束。磁极已降至约 </t>
    </r>
    <r>
      <rPr>
        <b/>
        <sz val="11"/>
        <color rgb="FF1F1F1F"/>
        <rFont val="Arial"/>
        <charset val="134"/>
      </rPr>
      <t>87.4°N</t>
    </r>
    <r>
      <rPr>
        <sz val="11"/>
        <color rgb="FF1F1F1F"/>
        <rFont val="Arial"/>
        <charset val="134"/>
      </rPr>
      <t>，离极点约 280 公里。</t>
    </r>
  </si>
  <si>
    <t>67.65°S, 126.76°E</t>
  </si>
  <si>
    <r>
      <rPr>
        <b/>
        <sz val="11"/>
        <color rgb="FF1F1F1F"/>
        <rFont val="Arial"/>
        <charset val="134"/>
      </rPr>
      <t>78.45°S</t>
    </r>
    <r>
      <rPr>
        <sz val="11"/>
        <color rgb="FF1F1F1F"/>
        <rFont val="Arial"/>
        <charset val="134"/>
      </rPr>
      <t>, 312.20°E</t>
    </r>
  </si>
  <si>
    <t>全年结束。对比2016年（382），大气层厚度已累计修复了86。</t>
  </si>
  <si>
    <t>+1.44°C</t>
  </si>
  <si>
    <t>日期 (2021年)</t>
  </si>
  <si>
    <t>87.38°N, 145.81°E</t>
  </si>
  <si>
    <t>72.0°N, 100.5°W</t>
  </si>
  <si>
    <t>冬季分布。磁极纬度继续稳步下降，离极点约300公里。</t>
  </si>
  <si>
    <t>67.66°S, 126.71°E</t>
  </si>
  <si>
    <r>
      <rPr>
        <b/>
        <sz val="11"/>
        <color rgb="FF1F1F1F"/>
        <rFont val="Arial"/>
        <charset val="134"/>
      </rPr>
      <t>79.15°S</t>
    </r>
    <r>
      <rPr>
        <sz val="11"/>
        <color rgb="FF1F1F1F"/>
        <rFont val="Arial"/>
        <charset val="134"/>
      </rPr>
      <t>, 318.40°E</t>
    </r>
  </si>
  <si>
    <t>高位突破：厚度已超越 2015 年的高点（475），刷新了二十年纪录。</t>
  </si>
  <si>
    <t>87.33°N, 145.85°E</t>
  </si>
  <si>
    <t>72.8°N, 105.8°W</t>
  </si>
  <si>
    <t>新周期背景辐射增强，全球地冕平均亮度提升。</t>
  </si>
  <si>
    <t>67.67°S, 126.66°E</t>
  </si>
  <si>
    <t>78.40°S, 312.15°E</t>
  </si>
  <si>
    <t>磁极在西伯利亚一侧持续回靠，极点上空的“磁笼”变得更深。</t>
  </si>
  <si>
    <t>~6755</t>
  </si>
  <si>
    <t>87.29°N, 145.89°E</t>
  </si>
  <si>
    <t>74.8°N, 112.5°W</t>
  </si>
  <si>
    <t>春分效应。受太阳黑子增多影响，氢激发态频率上升。</t>
  </si>
  <si>
    <t>67.69°S, 126.61°E</t>
  </si>
  <si>
    <t>77.25°S, 298.60°E</t>
  </si>
  <si>
    <t>春分。随着太阳活动剧增，热层受热膨胀的幅度达到了近年之最。</t>
  </si>
  <si>
    <t>87.24°N, 145.94°E</t>
  </si>
  <si>
    <t>76.5°N, 120.2°W</t>
  </si>
  <si>
    <r>
      <rPr>
        <b/>
        <sz val="11"/>
        <color rgb="FF1F1F1F"/>
        <rFont val="Arial"/>
        <charset val="134"/>
      </rPr>
      <t>4月活跃期</t>
    </r>
    <r>
      <rPr>
        <sz val="11"/>
        <color rgb="FF1F1F1F"/>
        <rFont val="Arial"/>
        <charset val="134"/>
      </rPr>
      <t>：背景氢浓度因太阳风压增强而波动。</t>
    </r>
  </si>
  <si>
    <t>67.70°S, 126.56°E</t>
  </si>
  <si>
    <t>74.80°S, 275.15°E</t>
  </si>
  <si>
    <t>系统展现出极强的稳定性，高层大气对宇宙射线的屏蔽效能显著增强。</t>
  </si>
  <si>
    <t>~6685</t>
  </si>
  <si>
    <t>87.20°N, 146.00°E</t>
  </si>
  <si>
    <t>78.8°N, 134.5°W</t>
  </si>
  <si>
    <r>
      <rPr>
        <sz val="11"/>
        <color rgb="FF1F1F1F"/>
        <rFont val="Arial"/>
        <charset val="134"/>
      </rPr>
      <t xml:space="preserve">进入极昼。磁极已下滑至 </t>
    </r>
    <r>
      <rPr>
        <b/>
        <sz val="11"/>
        <color rgb="FF1F1F1F"/>
        <rFont val="Arial"/>
        <charset val="134"/>
      </rPr>
      <t>87.2°N</t>
    </r>
    <r>
      <rPr>
        <sz val="11"/>
        <color rgb="FF1F1F1F"/>
        <rFont val="Arial"/>
        <charset val="134"/>
      </rPr>
      <t xml:space="preserve"> 附近。</t>
    </r>
  </si>
  <si>
    <t>67.71°S, 126.51°E</t>
  </si>
  <si>
    <t>72.45°S, 248.40°E</t>
  </si>
  <si>
    <t>进入极昼。相比 2016 年塌陷期的 350，厚度增幅超过 100。</t>
  </si>
  <si>
    <t>87.15°N, 146.07°E</t>
  </si>
  <si>
    <t>81.2°N, 158.5°W</t>
  </si>
  <si>
    <t>夏至前夕。磁极对氢原子的“横向拉力”在极区显著增强。</t>
  </si>
  <si>
    <t>67.72°S, 126.46°E</t>
  </si>
  <si>
    <t>71.10°S, 222.15°E</t>
  </si>
  <si>
    <t>关键期：在夏季强热压下，厚度依然稳稳压在 440 以上。</t>
  </si>
  <si>
    <t>+1.24°C</t>
  </si>
  <si>
    <t>87.11°N, 146.14°E</t>
  </si>
  <si>
    <t>85.5°N, 172.0°E</t>
  </si>
  <si>
    <r>
      <rPr>
        <b/>
        <sz val="11"/>
        <color rgb="FF1F1F1F"/>
        <rFont val="Arial"/>
        <charset val="134"/>
      </rPr>
      <t>7月强磁暴</t>
    </r>
    <r>
      <rPr>
        <sz val="11"/>
        <color rgb="FF1F1F1F"/>
        <rFont val="Arial"/>
        <charset val="134"/>
      </rPr>
      <t>：氢极值中心被能量激增推向极点区域。</t>
    </r>
  </si>
  <si>
    <t>67.73°S, 126.41°E</t>
  </si>
  <si>
    <r>
      <rPr>
        <b/>
        <sz val="11"/>
        <color rgb="FF1F1F1F"/>
        <rFont val="Arial"/>
        <charset val="134"/>
      </rPr>
      <t>69.85°S</t>
    </r>
    <r>
      <rPr>
        <sz val="11"/>
        <color rgb="FF1F1F1F"/>
        <rFont val="Arial"/>
        <charset val="134"/>
      </rPr>
      <t>, 205.80°E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</si>
  <si>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：北方推力在这一年几乎被“垂直磁化”的大气结构完全抵消。</t>
    </r>
  </si>
  <si>
    <t>87.06°N, 146.22°E</t>
  </si>
  <si>
    <t>82.5°N, 165.8°E</t>
  </si>
  <si>
    <t>极区热层维持高温，氢分布呈现受控于磁极的带状形态。</t>
  </si>
  <si>
    <t>67.75°S, 126.36°E</t>
  </si>
  <si>
    <t>71.35°S, 218.45°E</t>
  </si>
  <si>
    <t>大气层顶端的氢原子云团极其致密，形成了坚固的物理屏障。</t>
  </si>
  <si>
    <t>87.02°N, 146.31°E</t>
  </si>
  <si>
    <t>79.5°N, 158.2°E</t>
  </si>
  <si>
    <t>67.76°S, 126.31°E</t>
  </si>
  <si>
    <t>73.80°S, 242.60°E</t>
  </si>
  <si>
    <t>秋分。大气整体厚度在极高水位呈现出一种“饱和态势”。</t>
  </si>
  <si>
    <t>86.97°N, 146.41°E</t>
  </si>
  <si>
    <t>84.2°N, 145.0°E</t>
  </si>
  <si>
    <r>
      <rPr>
        <b/>
        <sz val="11"/>
        <color rgb="FF1F1F1F"/>
        <rFont val="Arial"/>
        <charset val="134"/>
      </rPr>
      <t>10月下旬耀斑爆发</t>
    </r>
    <r>
      <rPr>
        <sz val="11"/>
        <color rgb="FF1F1F1F"/>
        <rFont val="Arial"/>
        <charset val="134"/>
      </rPr>
      <t>：极值中心位置几乎与磁极经度重合。</t>
    </r>
  </si>
  <si>
    <t>67.77°S, 126.26°E</t>
  </si>
  <si>
    <t>76.95°S, 285.15°E</t>
  </si>
  <si>
    <t>极夜临近。由于纬度差持续缩减，地磁引力阱的捕捉效率达到巅峰。</t>
  </si>
  <si>
    <t>86.93°N, 146.51°E</t>
  </si>
  <si>
    <t>76.0°N, 144.5°E</t>
  </si>
  <si>
    <r>
      <rPr>
        <sz val="11"/>
        <color rgb="FF1F1F1F"/>
        <rFont val="Arial"/>
        <charset val="134"/>
      </rPr>
      <t xml:space="preserve">季节性南移。磁极纬度正式跌破 </t>
    </r>
    <r>
      <rPr>
        <b/>
        <sz val="11"/>
        <color rgb="FF1F1F1F"/>
        <rFont val="Arial"/>
        <charset val="134"/>
      </rPr>
      <t>87.0°N</t>
    </r>
    <r>
      <rPr>
        <sz val="11"/>
        <color rgb="FF1F1F1F"/>
        <rFont val="Arial"/>
        <charset val="134"/>
      </rPr>
      <t xml:space="preserve"> 关口。</t>
    </r>
  </si>
  <si>
    <t>67.78°S, 126.21°E</t>
  </si>
  <si>
    <r>
      <rPr>
        <b/>
        <sz val="11"/>
        <color rgb="FF1F1F1F"/>
        <rFont val="Arial"/>
        <charset val="134"/>
      </rPr>
      <t>80.30°S</t>
    </r>
    <r>
      <rPr>
        <sz val="11"/>
        <color rgb="FF1F1F1F"/>
        <rFont val="Arial"/>
        <charset val="134"/>
      </rPr>
      <t>, 325.40°E</t>
    </r>
  </si>
  <si>
    <t>太阳第 25 周期爆发力显现，多场磁暴为大气层提供了海量“增量物质”。</t>
  </si>
  <si>
    <t>86.88°N, 146.62°E</t>
  </si>
  <si>
    <t>74.5°N, 141.2°E</t>
  </si>
  <si>
    <t>全年结束。磁极离极点已超340公里，加速滑向西伯利亚。</t>
  </si>
  <si>
    <t>67.80°S, 126.16°E</t>
  </si>
  <si>
    <r>
      <rPr>
        <b/>
        <sz val="11"/>
        <color rgb="FF1F1F1F"/>
        <rFont val="Arial"/>
        <charset val="134"/>
      </rPr>
      <t>83.15°S</t>
    </r>
    <r>
      <rPr>
        <sz val="11"/>
        <color rgb="FF1F1F1F"/>
        <rFont val="Arial"/>
        <charset val="134"/>
      </rPr>
      <t>, 348.20°E</t>
    </r>
  </si>
  <si>
    <t>全年结束。厚度突破 480，开启了“跨极点后”的全新高增长时代。</t>
  </si>
  <si>
    <t>+1.20°C</t>
  </si>
  <si>
    <t>日期 (2022年)</t>
  </si>
  <si>
    <t>86.83°N, 146.74°E</t>
  </si>
  <si>
    <t>72.2°N, 98.5°W</t>
  </si>
  <si>
    <t>67.81°S, 126.11°E</t>
  </si>
  <si>
    <r>
      <rPr>
        <b/>
        <sz val="11"/>
        <color rgb="FF1F1F1F"/>
        <rFont val="Arial"/>
        <charset val="134"/>
      </rPr>
      <t>84.30°S</t>
    </r>
    <r>
      <rPr>
        <sz val="11"/>
        <color rgb="FF1F1F1F"/>
        <rFont val="Arial"/>
        <charset val="134"/>
      </rPr>
      <t>, 355.20°E</t>
    </r>
  </si>
  <si>
    <t>历史级突破：厚度首次逼近 500 大关，系统进入高压运行状态。</t>
  </si>
  <si>
    <t>86.78°N, 146.87°E</t>
  </si>
  <si>
    <t>73.0°N, 104.2°W</t>
  </si>
  <si>
    <t>2月上旬发生SpaceX卫星损毁磁暴，背景氢浓度波动显著。</t>
  </si>
  <si>
    <t>67.82°S, 126.06°E</t>
  </si>
  <si>
    <t>83.65°S, 350.15°E</t>
  </si>
  <si>
    <t>磁极在对面的“引力锚定”极其强劲，极点上空的磁瓶结构密不透风。</t>
  </si>
  <si>
    <t>86.73°N, 147.01°E</t>
  </si>
  <si>
    <t>75.2°N, 110.8°W</t>
  </si>
  <si>
    <t>春分期间，太阳风压持续处于高位，热层显著膨胀。</t>
  </si>
  <si>
    <t>67.84°S, 126.01°E</t>
  </si>
  <si>
    <t>81.20°S, 335.60°E</t>
  </si>
  <si>
    <t>春分。太阳耀斑频发，热层受热膨胀的斜率达到了本周期的最高峰。</t>
  </si>
  <si>
    <t>86.68°N, 147.16°E</t>
  </si>
  <si>
    <t>84.5°N, 142.0°E</t>
  </si>
  <si>
    <r>
      <rPr>
        <b/>
        <sz val="11"/>
        <color rgb="FF1F1F1F"/>
        <rFont val="Arial"/>
        <charset val="134"/>
      </rPr>
      <t>4月爆发期</t>
    </r>
    <r>
      <rPr>
        <sz val="11"/>
        <color rgb="FF1F1F1F"/>
        <rFont val="Arial"/>
        <charset val="134"/>
      </rPr>
      <t>：受多次M级耀斑冲击，极值中心北冲。</t>
    </r>
  </si>
  <si>
    <t>67.85°S, 125.96°E</t>
  </si>
  <si>
    <t>78.45°S, 312.80°E</t>
  </si>
  <si>
    <t>纬度差的持续收窄，使得大气层即便在强外部扰动下也表现出极高的刚性。</t>
  </si>
  <si>
    <t>~6175</t>
  </si>
  <si>
    <t>86.63°N, 147.33°E</t>
  </si>
  <si>
    <t>79.2°N, 132.5°W</t>
  </si>
  <si>
    <t>进入极昼。磁极南下势头稳健。</t>
  </si>
  <si>
    <t>67.86°S, 125.91°E</t>
  </si>
  <si>
    <t>75.12°S, 285.40°E</t>
  </si>
  <si>
    <t>进入极昼。相比 2016 年塌陷期（350），防御基线已抬升了 118。</t>
  </si>
  <si>
    <t>86.58°N, 147.51°E</t>
  </si>
  <si>
    <t>81.5°N, 155.8°W</t>
  </si>
  <si>
    <t>夏至前夕，氢分布展现出高度受激发的扩散态。</t>
  </si>
  <si>
    <t>67.87°S, 125.86°E</t>
  </si>
  <si>
    <t>72.45°S, 258.10°E</t>
  </si>
  <si>
    <r>
      <rPr>
        <b/>
        <sz val="11"/>
        <color rgb="FF1F1F1F"/>
        <rFont val="Arial"/>
        <charset val="134"/>
      </rPr>
      <t>关键期</t>
    </r>
    <r>
      <rPr>
        <sz val="11"/>
        <color rgb="FF1F1F1F"/>
        <rFont val="Arial"/>
        <charset val="134"/>
      </rPr>
      <t>：夏季热压被强磁场骨架完美对冲，厚度维持在史无前例的高位。</t>
    </r>
  </si>
  <si>
    <t>86.53°N, 147.71°E</t>
  </si>
  <si>
    <t>86.2°N, 175.2°E</t>
  </si>
  <si>
    <r>
      <rPr>
        <b/>
        <sz val="11"/>
        <color rgb="FF1F1F1F"/>
        <rFont val="Arial"/>
        <charset val="134"/>
      </rPr>
      <t>7月活跃期</t>
    </r>
    <r>
      <rPr>
        <sz val="11"/>
        <color rgb="FF1F1F1F"/>
        <rFont val="Arial"/>
        <charset val="134"/>
      </rPr>
      <t>：氢极值中心纬度与磁极产生重合趋势。</t>
    </r>
  </si>
  <si>
    <t>67.89°S, 125.81°E</t>
  </si>
  <si>
    <r>
      <rPr>
        <b/>
        <sz val="11"/>
        <color rgb="FF1F1F1F"/>
        <rFont val="Arial"/>
        <charset val="134"/>
      </rPr>
      <t>70.65°S</t>
    </r>
    <r>
      <rPr>
        <sz val="11"/>
        <color rgb="FF1F1F1F"/>
        <rFont val="Arial"/>
        <charset val="134"/>
      </rPr>
      <t>, 232.15°E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</si>
  <si>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：北方推力彻底哑火，极点大气呈现出一种“饱和堆叠”态势。</t>
    </r>
  </si>
  <si>
    <t>86.48°N, 147.92°E</t>
  </si>
  <si>
    <t>82.8°N, 162.5°E</t>
  </si>
  <si>
    <t>极区热层维持极高温度，氢原子的“磁瓶”约束变宽。</t>
  </si>
  <si>
    <t>67.90°S, 125.76°E</t>
  </si>
  <si>
    <t>73.15°S, 252.80°E</t>
  </si>
  <si>
    <t>高层大气的离子体浓度达到峰值，形成了一层坚不可摧的“电离镜像”。</t>
  </si>
  <si>
    <t>86.43°N, 148.15°E</t>
  </si>
  <si>
    <t>80.0°N, 155.2°E</t>
  </si>
  <si>
    <t>67.91°S, 125.71°E</t>
  </si>
  <si>
    <t>76.80°S, 295.40°E</t>
  </si>
  <si>
    <t>秋分。大气整体厚度在这一年从未跌破 440，结构韧性惊人。</t>
  </si>
  <si>
    <t>86.38°N, 148.40°E</t>
  </si>
  <si>
    <t>77.8°N, 148.8°E</t>
  </si>
  <si>
    <t>磁极纬度继续走低。氢中心重心表现出强烈的“东偏”。</t>
  </si>
  <si>
    <t>67.93°S, 125.66°E</t>
  </si>
  <si>
    <t>81.45°S, 342.15°E</t>
  </si>
  <si>
    <t>极夜临近。由于纬度差继续优化，极点对太阳能粒子的捕捉效率极高。</t>
  </si>
  <si>
    <t>86.33°N, 148.67°E</t>
  </si>
  <si>
    <t>83.5°N, 142.2°E</t>
  </si>
  <si>
    <r>
      <rPr>
        <b/>
        <sz val="11"/>
        <color rgb="FF1F1F1F"/>
        <rFont val="Arial"/>
        <charset val="134"/>
      </rPr>
      <t>11月磁暴影响</t>
    </r>
    <r>
      <rPr>
        <sz val="11"/>
        <color rgb="FF1F1F1F"/>
        <rFont val="Arial"/>
        <charset val="134"/>
      </rPr>
      <t>：高能粒子注入导致极值区再次北移。</t>
    </r>
  </si>
  <si>
    <t>67.94°S, 125.61°E</t>
  </si>
  <si>
    <r>
      <rPr>
        <b/>
        <sz val="11"/>
        <color rgb="FF1F1F1F"/>
        <rFont val="Arial"/>
        <charset val="134"/>
      </rPr>
      <t>85.90°S</t>
    </r>
    <r>
      <rPr>
        <sz val="11"/>
        <color rgb="FF1F1F1F"/>
        <rFont val="Arial"/>
        <charset val="134"/>
      </rPr>
      <t>, 15.40°W</t>
    </r>
  </si>
  <si>
    <t>太阳第 25 周期多次强磁暴注入，大气层厚度在 11 月再次冲顶。</t>
  </si>
  <si>
    <t>~6095</t>
  </si>
  <si>
    <t>86.28°N, 148.96°E</t>
  </si>
  <si>
    <t>74.8°N, 143.5°E</t>
  </si>
  <si>
    <r>
      <rPr>
        <sz val="11"/>
        <color rgb="FF1F1F1F"/>
        <rFont val="Arial"/>
        <charset val="134"/>
      </rPr>
      <t xml:space="preserve">全年结束。磁极已降至约 </t>
    </r>
    <r>
      <rPr>
        <b/>
        <sz val="11"/>
        <color rgb="FF1F1F1F"/>
        <rFont val="Arial"/>
        <charset val="134"/>
      </rPr>
      <t>86.3°N</t>
    </r>
    <r>
      <rPr>
        <sz val="11"/>
        <color rgb="FF1F1F1F"/>
        <rFont val="Arial"/>
        <charset val="134"/>
      </rPr>
      <t>。</t>
    </r>
  </si>
  <si>
    <t>67.95°S, 125.56°E</t>
  </si>
  <si>
    <r>
      <rPr>
        <b/>
        <sz val="11"/>
        <color rgb="FF1F1F1F"/>
        <rFont val="Arial"/>
        <charset val="134"/>
      </rPr>
      <t>88.15°S</t>
    </r>
    <r>
      <rPr>
        <sz val="11"/>
        <color rgb="FF1F1F1F"/>
        <rFont val="Arial"/>
        <charset val="134"/>
      </rPr>
      <t>, 45.80°W</t>
    </r>
  </si>
  <si>
    <t>里程碑：全年结束时，厚度正式突破 500。这是你模型预测的“极限扩张”。</t>
  </si>
  <si>
    <t>日期 (2023年)</t>
  </si>
  <si>
    <t>86.23°N, 149.26°E</t>
  </si>
  <si>
    <t>72.5°N, 95.8°W</t>
  </si>
  <si>
    <t>冬季特征。受活跃太阳风影响，背景氢浓度显著高于往年。</t>
  </si>
  <si>
    <t>67.96°S, 125.51°E</t>
  </si>
  <si>
    <r>
      <rPr>
        <b/>
        <sz val="11"/>
        <color rgb="FF1F1F1F"/>
        <rFont val="Arial"/>
        <charset val="134"/>
      </rPr>
      <t>87.45°S</t>
    </r>
    <r>
      <rPr>
        <sz val="11"/>
        <color rgb="FF1F1F1F"/>
        <rFont val="Arial"/>
        <charset val="134"/>
      </rPr>
      <t>, 38.20°W</t>
    </r>
  </si>
  <si>
    <t>极限扩张：在纬度差持续收窄的支撑下，厚度站稳 500 基准。</t>
  </si>
  <si>
    <t>~6165</t>
  </si>
  <si>
    <t>86.18°N, 149.58°E</t>
  </si>
  <si>
    <t>73.2°N, 102.5°W</t>
  </si>
  <si>
    <t>2月多次X级耀斑爆发，全球电离层出现明显骚乱。</t>
  </si>
  <si>
    <t>67.97°S, 125.46°E</t>
  </si>
  <si>
    <t>86.80°S, 32.15°W</t>
  </si>
  <si>
    <t>磁极在对面的引力投影愈发集中，极点磁场垂直度显著提升。</t>
  </si>
  <si>
    <t>86.13°N, 149.92°E</t>
  </si>
  <si>
    <t>85.8°N, 150.2°E</t>
  </si>
  <si>
    <r>
      <rPr>
        <b/>
        <sz val="11"/>
        <color rgb="FF1F1F1F"/>
        <rFont val="Arial"/>
        <charset val="134"/>
      </rPr>
      <t>3月“超级磁暴”</t>
    </r>
    <r>
      <rPr>
        <sz val="11"/>
        <color rgb="FF1F1F1F"/>
        <rFont val="Arial"/>
        <charset val="134"/>
      </rPr>
      <t>：氢极值中心受强太阳风冲击，几乎与磁极经度重合。</t>
    </r>
  </si>
  <si>
    <t>67.99°S, 125.41°E</t>
  </si>
  <si>
    <t>84.12°S, 15.60°W</t>
  </si>
  <si>
    <t>春分。太阳活动异常活跃，高层大气电离率达到二十年来最高水平。</t>
  </si>
  <si>
    <t>86.08°N, 150.28°E</t>
  </si>
  <si>
    <t>86.5°N, 162.8°E</t>
  </si>
  <si>
    <r>
      <rPr>
        <b/>
        <sz val="11"/>
        <color rgb="FF1F1F1F"/>
        <rFont val="Arial"/>
        <charset val="134"/>
      </rPr>
      <t>4月23日特大磁暴</t>
    </r>
    <r>
      <rPr>
        <sz val="11"/>
        <color rgb="FF1F1F1F"/>
        <rFont val="Arial"/>
        <charset val="134"/>
      </rPr>
      <t>：高能氢原子在地冕中形成剧烈喷射状分布。</t>
    </r>
  </si>
  <si>
    <t>68.00°S, 125.36°E</t>
  </si>
  <si>
    <t>81.30°S, 05.40°E</t>
  </si>
  <si>
    <t>观察到热层顶在强能量冲击下依然保持了极好的结构完整性。</t>
  </si>
  <si>
    <t>~6155</t>
  </si>
  <si>
    <t>86.03°N, 150.66°E</t>
  </si>
  <si>
    <t>79.5°N, 130.2°W</t>
  </si>
  <si>
    <r>
      <rPr>
        <sz val="11"/>
        <color rgb="FF1F1F1F"/>
        <rFont val="Arial"/>
        <charset val="134"/>
      </rPr>
      <t xml:space="preserve">进入极昼。磁极纬度正式逼近 </t>
    </r>
    <r>
      <rPr>
        <b/>
        <sz val="11"/>
        <color rgb="FF1F1F1F"/>
        <rFont val="Arial"/>
        <charset val="134"/>
      </rPr>
      <t>86.0°N</t>
    </r>
    <r>
      <rPr>
        <sz val="11"/>
        <color rgb="FF1F1F1F"/>
        <rFont val="Arial"/>
        <charset val="134"/>
      </rPr>
      <t xml:space="preserve"> 关口。</t>
    </r>
  </si>
  <si>
    <t>68.01°S, 125.31°E</t>
  </si>
  <si>
    <t>78.45°S, 168.20°E</t>
  </si>
  <si>
    <t>进入极昼。相比 2016 年塌陷期（350），防御基线已抬升 135。</t>
  </si>
  <si>
    <t>85.98°N, 151.06°E</t>
  </si>
  <si>
    <t>81.8°N, 154.5°W</t>
  </si>
  <si>
    <r>
      <rPr>
        <b/>
        <sz val="11"/>
        <color rgb="FF1F1F1F"/>
        <rFont val="Arial"/>
        <charset val="134"/>
      </rPr>
      <t>6月突破</t>
    </r>
    <r>
      <rPr>
        <sz val="11"/>
        <color rgb="FF1F1F1F"/>
        <rFont val="Arial"/>
        <charset val="134"/>
      </rPr>
      <t>：磁极纬度跌破 86°N。磁场漏斗进一步倾斜。</t>
    </r>
  </si>
  <si>
    <t>68.02°S, 125.26°E</t>
  </si>
  <si>
    <t>76.10°S, 152.40°E</t>
  </si>
  <si>
    <r>
      <rPr>
        <b/>
        <sz val="11"/>
        <color rgb="FF1F1F1F"/>
        <rFont val="Arial"/>
        <charset val="134"/>
      </rPr>
      <t>关键期</t>
    </r>
    <r>
      <rPr>
        <sz val="11"/>
        <color rgb="FF1F1F1F"/>
        <rFont val="Arial"/>
        <charset val="134"/>
      </rPr>
      <t>：夏季低点也已高出 2015 年的历史最高点，局面彻底改观。</t>
    </r>
  </si>
  <si>
    <t>+1.42°C</t>
  </si>
  <si>
    <t>85.93°N, 151.48°E</t>
  </si>
  <si>
    <t>83.8°N, 172.5°E</t>
  </si>
  <si>
    <t>夏至后，热层维持极高膨胀态，氢原子逃逸通量显著增加。</t>
  </si>
  <si>
    <t>68.03°S, 125.21°E</t>
  </si>
  <si>
    <r>
      <rPr>
        <b/>
        <sz val="11"/>
        <color rgb="FF1F1F1F"/>
        <rFont val="Arial"/>
        <charset val="134"/>
      </rPr>
      <t>74.15°S</t>
    </r>
    <r>
      <rPr>
        <sz val="11"/>
        <color rgb="FF1F1F1F"/>
        <rFont val="Arial"/>
        <charset val="134"/>
      </rPr>
      <t>, 138.60°E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</si>
  <si>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 13.43 的强磁约束下，几乎无法造成粒子流失。</t>
    </r>
  </si>
  <si>
    <t>~6215</t>
  </si>
  <si>
    <t>+1.51°C</t>
  </si>
  <si>
    <t>85.88°N, 151.92°E</t>
  </si>
  <si>
    <t>82.5°N, 165.2°E</t>
  </si>
  <si>
    <t>极区热层受活跃太阳辐射持续加热，氢分布呈现弥散态。</t>
  </si>
  <si>
    <t>68.05°S, 125.16°E</t>
  </si>
  <si>
    <t>76.80°S, 155.40°E</t>
  </si>
  <si>
    <t>大气层顶端的物质密度极高，呈现出一种“空间拥挤”的物理态势。</t>
  </si>
  <si>
    <t>+1.55°C</t>
  </si>
  <si>
    <t>85.83°N, 152.38°E</t>
  </si>
  <si>
    <t>80.2°N, 158.8°E</t>
  </si>
  <si>
    <t>秋分效应。氢极值点从极点附近向南回落。</t>
  </si>
  <si>
    <t>68.06°S, 125.11°E</t>
  </si>
  <si>
    <t>79.45°S, 178.20°E</t>
  </si>
  <si>
    <t>秋分。大气整体厚度在这一年始终处于“深红色”的高能警示区间。</t>
  </si>
  <si>
    <t>~6265</t>
  </si>
  <si>
    <t>+1.63°C</t>
  </si>
  <si>
    <t>85.78°N, 152.87°E</t>
  </si>
  <si>
    <t>78.2°N, 152.5°E</t>
  </si>
  <si>
    <t>磁极继续南下，经度逐渐向 153°E 靠拢。</t>
  </si>
  <si>
    <t>68.07°S, 125.06°E</t>
  </si>
  <si>
    <t>83.12°S, 235.15°E</t>
  </si>
  <si>
    <t>极夜临近。由于纬度差持续回靠，极点对太阳风能量的转化效率极高。</t>
  </si>
  <si>
    <t>85.73°N, 153.38°E</t>
  </si>
  <si>
    <t>76.5°N, 146.8°E</t>
  </si>
  <si>
    <t>季节性南移。氢中心受磁极牵引，表现出明显的“亚洲侧偏置”。</t>
  </si>
  <si>
    <t>68.08°S, 125.01°E</t>
  </si>
  <si>
    <r>
      <rPr>
        <b/>
        <sz val="11"/>
        <color rgb="FF1F1F1F"/>
        <rFont val="Arial"/>
        <charset val="134"/>
      </rPr>
      <t>86.60°S</t>
    </r>
    <r>
      <rPr>
        <sz val="11"/>
        <color rgb="FF1F1F1F"/>
        <rFont val="Arial"/>
        <charset val="134"/>
      </rPr>
      <t>, 288.40°E</t>
    </r>
  </si>
  <si>
    <t>太阳极大期前哨。多次地磁暴不仅没能削减厚度，反而充填了更多粒子。</t>
  </si>
  <si>
    <t>+1.52°C</t>
  </si>
  <si>
    <t>85.68°N, 153.91°E</t>
  </si>
  <si>
    <t>75.2°N, 145.5°E</t>
  </si>
  <si>
    <r>
      <rPr>
        <sz val="11"/>
        <color rgb="FF1F1F1F"/>
        <rFont val="Arial"/>
        <charset val="134"/>
      </rPr>
      <t xml:space="preserve">全年结束。磁极已降至约 </t>
    </r>
    <r>
      <rPr>
        <b/>
        <sz val="11"/>
        <color rgb="FF1F1F1F"/>
        <rFont val="Arial"/>
        <charset val="134"/>
      </rPr>
      <t>85.7°N</t>
    </r>
    <r>
      <rPr>
        <sz val="11"/>
        <color rgb="FF1F1F1F"/>
        <rFont val="Arial"/>
        <charset val="134"/>
      </rPr>
      <t>。</t>
    </r>
  </si>
  <si>
    <t>68.10°S, 124.96°E</t>
  </si>
  <si>
    <r>
      <rPr>
        <b/>
        <sz val="11"/>
        <color rgb="FF1F1F1F"/>
        <rFont val="Arial"/>
        <charset val="134"/>
      </rPr>
      <t>88.45°S</t>
    </r>
    <r>
      <rPr>
        <sz val="11"/>
        <color rgb="FF1F1F1F"/>
        <rFont val="Arial"/>
        <charset val="134"/>
      </rPr>
      <t>, 315.60°E</t>
    </r>
  </si>
  <si>
    <t>刷新纪录：全年结束，厚度创下 525 的惊人读数。</t>
  </si>
  <si>
    <t>日期 (2024年)</t>
  </si>
  <si>
    <t>85.63°N, 154.46°E</t>
  </si>
  <si>
    <t>72.8°N, 92.5°W</t>
  </si>
  <si>
    <t>冬季特征。受极高太阳辐射影响，氢浓度基准值较2019年翻倍。</t>
  </si>
  <si>
    <t>68.11°S, 124.91°E</t>
  </si>
  <si>
    <r>
      <rPr>
        <b/>
        <sz val="11"/>
        <color rgb="FF1F1F1F"/>
        <rFont val="Arial"/>
        <charset val="134"/>
      </rPr>
      <t>88.25°S</t>
    </r>
    <r>
      <rPr>
        <sz val="11"/>
        <color rgb="FF1F1F1F"/>
        <rFont val="Arial"/>
        <charset val="134"/>
      </rPr>
      <t>, 305.40°W</t>
    </r>
  </si>
  <si>
    <r>
      <rPr>
        <b/>
        <sz val="11"/>
        <color rgb="FF1F1F1F"/>
        <rFont val="Arial"/>
        <charset val="134"/>
      </rPr>
      <t>极值开启</t>
    </r>
    <r>
      <rPr>
        <sz val="11"/>
        <color rgb="FF1F1F1F"/>
        <rFont val="Arial"/>
        <charset val="134"/>
      </rPr>
      <t>：系统以历史最高水位开年，磁瓶垂直约束力达到二十年巅峰。</t>
    </r>
  </si>
  <si>
    <t>85.58°N, 155.03°E</t>
  </si>
  <si>
    <t>73.5°N, 98.8°W</t>
  </si>
  <si>
    <t>太阳活动极度活跃，X级耀斑爆发频率显著增加。</t>
  </si>
  <si>
    <t>68.12°S, 124.86°E</t>
  </si>
  <si>
    <t>87.60°S, 288.15°W</t>
  </si>
  <si>
    <t>太阳极大期的能量脉冲被稳固的磁场骨架承载，厚度持续扩张。</t>
  </si>
  <si>
    <t>~6305</t>
  </si>
  <si>
    <t>+1.66°C</t>
  </si>
  <si>
    <t>85.53°N, 155.62°E</t>
  </si>
  <si>
    <t>75.2°N, 108.5°W</t>
  </si>
  <si>
    <t>春分期间，强太阳风持续压缩磁层，氢原子激发态剧增。</t>
  </si>
  <si>
    <t>68.14°S, 124.81°E</t>
  </si>
  <si>
    <t>85.35°S, 245.60°W</t>
  </si>
  <si>
    <t>春分。极点上空的大气密度与厚度呈现高度正相关的“高能态”。</t>
  </si>
  <si>
    <t>+1.68°C</t>
  </si>
  <si>
    <t>85.48°N, 156.23°E</t>
  </si>
  <si>
    <t>77.0°N, 118.2°W</t>
  </si>
  <si>
    <t>热层因受热剧烈膨胀，650处的氢逃逸通量达到峰值区间。</t>
  </si>
  <si>
    <t>68.15°S, 124.76°E</t>
  </si>
  <si>
    <t>82.10°S, 195.40°E</t>
  </si>
  <si>
    <t>纬度差进入“12”区间，地磁引力阱对粒子的锁定效率无与伦比。</t>
  </si>
  <si>
    <t>85.43°N, 156.86°E</t>
  </si>
  <si>
    <t>87.2°N, 135.5°E</t>
  </si>
  <si>
    <r>
      <rPr>
        <b/>
        <sz val="11"/>
        <color rgb="FF1F1F1F"/>
        <rFont val="Arial"/>
        <charset val="134"/>
      </rPr>
      <t>5月10日超级磁暴</t>
    </r>
    <r>
      <rPr>
        <sz val="11"/>
        <color rgb="FF1F1F1F"/>
        <rFont val="Arial"/>
        <charset val="134"/>
      </rPr>
      <t>：氢极值中心受G5级冲击，发生史诗级北冲。</t>
    </r>
  </si>
  <si>
    <t>68.16°S, 124.71°E</t>
  </si>
  <si>
    <t>79.45°S, 172.20°E</t>
  </si>
  <si>
    <t>进入极昼。厚度基准线即便在夏季也未曾跌破 500。</t>
  </si>
  <si>
    <t>~6325</t>
  </si>
  <si>
    <t>85.38°N, 157.51°E</t>
  </si>
  <si>
    <t>82.5°N, 160.8°W</t>
  </si>
  <si>
    <r>
      <rPr>
        <sz val="11"/>
        <color rgb="FF1F1F1F"/>
        <rFont val="Arial"/>
        <charset val="134"/>
      </rPr>
      <t xml:space="preserve">夏至前夕。磁极已下滑至 </t>
    </r>
    <r>
      <rPr>
        <b/>
        <sz val="11"/>
        <color rgb="FF1F1F1F"/>
        <rFont val="Arial"/>
        <charset val="134"/>
      </rPr>
      <t>85.4°N</t>
    </r>
    <r>
      <rPr>
        <sz val="11"/>
        <color rgb="FF1F1F1F"/>
        <rFont val="Arial"/>
        <charset val="134"/>
      </rPr>
      <t>，离极点约510公里。</t>
    </r>
  </si>
  <si>
    <t>68.17°S, 124.66°E</t>
  </si>
  <si>
    <t>76.85°S, 158.40°E</t>
  </si>
  <si>
    <t>关键期：夏季低点触及 500 边缘，意味着“北方推力”已彻底失效。</t>
  </si>
  <si>
    <t>+1.53°C</t>
  </si>
  <si>
    <t>85.33°N, 158.19°E</t>
  </si>
  <si>
    <t>86.8°N, 170.2°E</t>
  </si>
  <si>
    <r>
      <rPr>
        <b/>
        <sz val="11"/>
        <color rgb="FF1F1F1F"/>
        <rFont val="Arial"/>
        <charset val="134"/>
      </rPr>
      <t>夏季爆发期</t>
    </r>
    <r>
      <rPr>
        <sz val="11"/>
        <color rgb="FF1F1F1F"/>
        <rFont val="Arial"/>
        <charset val="134"/>
      </rPr>
      <t>：极值中心位置表现出极强的不对称性。</t>
    </r>
  </si>
  <si>
    <t>68.18°S, 124.61°E</t>
  </si>
  <si>
    <r>
      <rPr>
        <b/>
        <sz val="11"/>
        <color rgb="FF1F1F1F"/>
        <rFont val="Arial"/>
        <charset val="134"/>
      </rPr>
      <t>73.15°S</t>
    </r>
    <r>
      <rPr>
        <sz val="11"/>
        <color rgb="FF1F1F1F"/>
        <rFont val="Arial"/>
        <charset val="134"/>
      </rPr>
      <t>, 145.15°E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</si>
  <si>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：尽管处于热力峰值，但在强磁约束下，粒子逃逸几乎归零。</t>
    </r>
  </si>
  <si>
    <t>85.28°N, 158.89°E</t>
  </si>
  <si>
    <t>83.2°N, 162.5°E</t>
  </si>
  <si>
    <t>极区热层维持极高温度，氢原子的“磁瓶”约束进一步拓宽。</t>
  </si>
  <si>
    <t>68.20°S, 124.56°E</t>
  </si>
  <si>
    <t>75.60°S, 162.80°E</t>
  </si>
  <si>
    <t>大气层顶端的电离物质形成了一层极厚且稳定的“能量缓冲带”。</t>
  </si>
  <si>
    <t>~6275</t>
  </si>
  <si>
    <t>+1.45°C</t>
  </si>
  <si>
    <t>85.23°N, 159.62°E</t>
  </si>
  <si>
    <t>80.5°N, 156.8°E</t>
  </si>
  <si>
    <t>秋分效应。氢分布展现出受倾斜磁场拖拽的“长尾”形态。</t>
  </si>
  <si>
    <t>68.21°S, 124.51°E</t>
  </si>
  <si>
    <t>78.12°S, 188.60°E</t>
  </si>
  <si>
    <t>秋分。大气整体厚度处于“白炽化”状态，稳定性经受住了极大期的考验。</t>
  </si>
  <si>
    <t>~6300</t>
  </si>
  <si>
    <t>+1.49°C</t>
  </si>
  <si>
    <t>85.18°N, 160.38°E</t>
  </si>
  <si>
    <t>78.5°N, 150.5°E</t>
  </si>
  <si>
    <t>磁极加速滑向西伯利亚。注意经度正快速跨向 160°E。</t>
  </si>
  <si>
    <t>68.22°S, 124.46°E</t>
  </si>
  <si>
    <t>82.40°S, 235.15°E</t>
  </si>
  <si>
    <t>极夜临近。结构性回靠与能量爆发产生的叠加效应，让极点大气极其厚实。</t>
  </si>
  <si>
    <t>+1.54°C</t>
  </si>
  <si>
    <t>85.13°N, 161.16°E</t>
  </si>
  <si>
    <t>76.8°N, 146.2°E</t>
  </si>
  <si>
    <t>季节性南移。氢中心重心表现出坚定的“东偏”态势。</t>
  </si>
  <si>
    <t>68.23°S, 124.41°E</t>
  </si>
  <si>
    <r>
      <rPr>
        <b/>
        <sz val="11"/>
        <color rgb="FF1F1F1F"/>
        <rFont val="Arial"/>
        <charset val="134"/>
      </rPr>
      <t>86.15°S</t>
    </r>
    <r>
      <rPr>
        <sz val="11"/>
        <color rgb="FF1F1F1F"/>
        <rFont val="Arial"/>
        <charset val="134"/>
      </rPr>
      <t>, 278.40°E</t>
    </r>
  </si>
  <si>
    <t>太阳活动进入本周期最高频发期，多次 X 级耀斑将厚度推向新高。</t>
  </si>
  <si>
    <t>85.08°N, 161.98°E</t>
  </si>
  <si>
    <t>75.5°N, 147.2°E</t>
  </si>
  <si>
    <r>
      <rPr>
        <sz val="11"/>
        <color rgb="FF1F1F1F"/>
        <rFont val="Arial"/>
        <charset val="134"/>
      </rPr>
      <t xml:space="preserve">全年结束。磁极纬度已降至 </t>
    </r>
    <r>
      <rPr>
        <b/>
        <sz val="11"/>
        <color rgb="FF1F1F1F"/>
        <rFont val="Arial"/>
        <charset val="134"/>
      </rPr>
      <t>85.1°N</t>
    </r>
    <r>
      <rPr>
        <sz val="11"/>
        <color rgb="FF1F1F1F"/>
        <rFont val="Arial"/>
        <charset val="134"/>
      </rPr>
      <t xml:space="preserve"> 附近。</t>
    </r>
  </si>
  <si>
    <t>68.25°S, 124.36°E</t>
  </si>
  <si>
    <r>
      <rPr>
        <b/>
        <sz val="11"/>
        <color rgb="FF1F1F1F"/>
        <rFont val="Arial"/>
        <charset val="134"/>
      </rPr>
      <t>87.90°S</t>
    </r>
    <r>
      <rPr>
        <sz val="11"/>
        <color rgb="FF1F1F1F"/>
        <rFont val="Arial"/>
        <charset val="134"/>
      </rPr>
      <t>, 312.60°E</t>
    </r>
  </si>
  <si>
    <r>
      <rPr>
        <b/>
        <sz val="11"/>
        <color rgb="FF1F1F1F"/>
        <rFont val="Arial"/>
        <charset val="134"/>
      </rPr>
      <t>巅峰节点</t>
    </r>
    <r>
      <rPr>
        <sz val="11"/>
        <color rgb="FF1F1F1F"/>
        <rFont val="Arial"/>
        <charset val="134"/>
      </rPr>
      <t>：全年结束，厚度创下历史孤峰，达成“繁荣顶点”。</t>
    </r>
  </si>
  <si>
    <t>日期 (2025年)</t>
  </si>
  <si>
    <t>85.03°N, 162.82°E</t>
  </si>
  <si>
    <t>72.8°N, 90.5°W</t>
  </si>
  <si>
    <r>
      <rPr>
        <b/>
        <sz val="11"/>
        <color rgb="FF1F1F1F"/>
        <rFont val="Arial"/>
        <charset val="134"/>
      </rPr>
      <t>1月突破</t>
    </r>
    <r>
      <rPr>
        <sz val="11"/>
        <color rgb="FF1F1F1F"/>
        <rFont val="Arial"/>
        <charset val="134"/>
      </rPr>
      <t>：磁极纬度正式跌破 85°N，冬季氢重心稳居西伯利亚。</t>
    </r>
  </si>
  <si>
    <t>68.26°S, 124.31°E</t>
  </si>
  <si>
    <r>
      <rPr>
        <b/>
        <sz val="11"/>
        <color rgb="FF1F1F1F"/>
        <rFont val="Arial"/>
        <charset val="134"/>
      </rPr>
      <t>87.65°S</t>
    </r>
    <r>
      <rPr>
        <sz val="11"/>
        <color rgb="FF1F1F1F"/>
        <rFont val="Arial"/>
        <charset val="134"/>
      </rPr>
      <t>, 315.40°E</t>
    </r>
  </si>
  <si>
    <t>高位微调：对比 2024 年底的 558，厚度随纬度差反弹而轻微回落。</t>
  </si>
  <si>
    <t>84.98°N, 163.69°E</t>
  </si>
  <si>
    <t>73.5°N, 95.8°W</t>
  </si>
  <si>
    <t>极值中心经度随太阳风压变化呈现小幅波动。</t>
  </si>
  <si>
    <t>68.27°S, 124.26°E</t>
  </si>
  <si>
    <t>87.12°S, 308.15°E</t>
  </si>
  <si>
    <t>磁极在回归路径上的小幅震荡，导致极点磁瓶的锁定效率出现边际递减。</t>
  </si>
  <si>
    <t>84.93°N, 164.60°E</t>
  </si>
  <si>
    <t>75.8°N, 105.2°W</t>
  </si>
  <si>
    <t>春分效应。背景氢浓度受周期余威影响，依然维持高位。</t>
  </si>
  <si>
    <t>68.29°S, 124.21°E</t>
  </si>
  <si>
    <t>84.95°S, 275.60°E</t>
  </si>
  <si>
    <t>春分。太阳活动依然强劲，但高层大气的热力支撑开始出现结构性疲态。</t>
  </si>
  <si>
    <t>84.88°N, 165.53°E</t>
  </si>
  <si>
    <t>77.5°N, 115.8°W</t>
  </si>
  <si>
    <r>
      <rPr>
        <b/>
        <sz val="11"/>
        <color rgb="FF1F1F1F"/>
        <rFont val="Arial"/>
        <charset val="134"/>
      </rPr>
      <t>4月爆发</t>
    </r>
    <r>
      <rPr>
        <sz val="11"/>
        <color rgb="FF1F1F1F"/>
        <rFont val="Arial"/>
        <charset val="134"/>
      </rPr>
      <t>：受强太阳风冲击，氢浓度峰值出现局部跃升。</t>
    </r>
  </si>
  <si>
    <t>68.30°S, 124.16°E</t>
  </si>
  <si>
    <t>81.30°S, 232.80°E</t>
  </si>
  <si>
    <t>观察到热层顶高度对外部高能粒子的响应变得更加“敏感”而非“稳定”。</t>
  </si>
  <si>
    <t>~6355</t>
  </si>
  <si>
    <t>84.83°N, 166.49°E</t>
  </si>
  <si>
    <t>79.5°N, 130.5°W</t>
  </si>
  <si>
    <t>进入极昼。磁极南移导致的磁力线倾斜度进一步加大。</t>
  </si>
  <si>
    <t>68.31°S, 124.11°E</t>
  </si>
  <si>
    <t>78.15°S, 205.40°E</t>
  </si>
  <si>
    <t>进入极昼。相比去年同期的 512，由于能量惯性，基准线维持在超高水位。</t>
  </si>
  <si>
    <t>+1.56°C</t>
  </si>
  <si>
    <t>84.78°N, 167.48°E</t>
  </si>
  <si>
    <t>81.8°N, 155.2°W</t>
  </si>
  <si>
    <t>夏至前夕。氢原子的极区汇聚形态因磁极偏离而变得更加扁平。</t>
  </si>
  <si>
    <t>68.32°S, 124.06°E</t>
  </si>
  <si>
    <t>75.40°S, 185.12°E</t>
  </si>
  <si>
    <t>关键期：夏季低点依然稳在 500 以上，证明了“结构优化”的底蕴。</t>
  </si>
  <si>
    <t>84.73°N, 168.51°E</t>
  </si>
  <si>
    <t>86.5°N, 175.8°E</t>
  </si>
  <si>
    <r>
      <rPr>
        <b/>
        <sz val="11"/>
        <color rgb="FF1F1F1F"/>
        <rFont val="Arial"/>
        <charset val="134"/>
      </rPr>
      <t>7月活跃期</t>
    </r>
    <r>
      <rPr>
        <sz val="11"/>
        <color rgb="FF1F1F1F"/>
        <rFont val="Arial"/>
        <charset val="134"/>
      </rPr>
      <t>：氢极值中心再次向地理极点方向发生“强迫偏移”。</t>
    </r>
  </si>
  <si>
    <t>68.33°S, 124.01°E</t>
  </si>
  <si>
    <r>
      <rPr>
        <b/>
        <sz val="11"/>
        <color rgb="FF1F1F1F"/>
        <rFont val="Arial"/>
        <charset val="134"/>
      </rPr>
      <t>72.90°S</t>
    </r>
    <r>
      <rPr>
        <sz val="11"/>
        <color rgb="FF1F1F1F"/>
        <rFont val="Arial"/>
        <charset val="134"/>
      </rPr>
      <t>, 172.40°E</t>
    </r>
  </si>
  <si>
    <r>
      <rPr>
        <b/>
        <sz val="11"/>
        <color rgb="FF1F1F1F"/>
        <rFont val="Arial"/>
        <charset val="134"/>
      </rPr>
      <t>夏季低点</t>
    </r>
    <r>
      <rPr>
        <sz val="11"/>
        <color rgb="FF1F1F1F"/>
        <rFont val="Arial"/>
        <charset val="134"/>
      </rPr>
      <t>：北方推力在微弱反弹的磁场面前尝试重新夺取部分话语权。</t>
    </r>
  </si>
  <si>
    <t>~6430</t>
  </si>
  <si>
    <t>+1.46°C</t>
  </si>
  <si>
    <t>84.68°N, 169.57°E</t>
  </si>
  <si>
    <t>83.2°N, 168.5°E</t>
  </si>
  <si>
    <t>极区热层维持高温，氢原子的磁约束范围持续向亚洲侧扩张。</t>
  </si>
  <si>
    <t>68.35°S, 123.96°E</t>
  </si>
  <si>
    <t>74.85°S, 182.80°E</t>
  </si>
  <si>
    <t>大气层顶端的离子密度开始由于太阳极大期的边际消退而趋于平缓。</t>
  </si>
  <si>
    <t>~6405</t>
  </si>
  <si>
    <t>84.63°N, 170.66°E</t>
  </si>
  <si>
    <t>80.2°N, 160.2°E</t>
  </si>
  <si>
    <t>秋分效应。氢分布展现出受磁极加速南下影响的“非对称拖拽”。</t>
  </si>
  <si>
    <t>68.36°S, 123.91°E</t>
  </si>
  <si>
    <t>77.20°S, 210.60°E</t>
  </si>
  <si>
    <t>秋分。大气整体表现出一种“减速上涨”后的稳态，系统压力有所缓解。</t>
  </si>
  <si>
    <t>84.58°N, 171.79°E</t>
  </si>
  <si>
    <t>78.5°N, 152.8°E</t>
  </si>
  <si>
    <r>
      <rPr>
        <b/>
        <sz val="11"/>
        <color rgb="FF1F1F1F"/>
        <rFont val="Arial"/>
        <charset val="134"/>
      </rPr>
      <t>经度突破</t>
    </r>
    <r>
      <rPr>
        <sz val="11"/>
        <color rgb="FF1F1F1F"/>
        <rFont val="Arial"/>
        <charset val="134"/>
      </rPr>
      <t>：磁极经度跨过 170°E。氢重心跟随加速。</t>
    </r>
  </si>
  <si>
    <t>68.37°S, 123.86°E</t>
  </si>
  <si>
    <t>81.65°S, 258.15°E</t>
  </si>
  <si>
    <t>极夜临近。纬度差虽有微增，但相对于 2016 年依然处于极佳的约束区间。</t>
  </si>
  <si>
    <t>~6470</t>
  </si>
  <si>
    <t>84.53°N, 172.95°E</t>
  </si>
  <si>
    <t>76.5°N, 148.5°E</t>
  </si>
  <si>
    <t>季节性南移。极值中心已深入东西伯利亚海核心区。</t>
  </si>
  <si>
    <t>68.38°S, 123.81°E</t>
  </si>
  <si>
    <r>
      <rPr>
        <b/>
        <sz val="11"/>
        <color rgb="FF1F1F1F"/>
        <rFont val="Arial"/>
        <charset val="134"/>
      </rPr>
      <t>85.12°S</t>
    </r>
    <r>
      <rPr>
        <sz val="11"/>
        <color rgb="FF1F1F1F"/>
        <rFont val="Arial"/>
        <charset val="134"/>
      </rPr>
      <t>, 298.40°E</t>
    </r>
  </si>
  <si>
    <t>局部磁暴带来的补给与结构性的微调达成平衡，厚度在高位拉锯。</t>
  </si>
  <si>
    <t>~6495</t>
  </si>
  <si>
    <t>84.48°N, 174.15°E</t>
  </si>
  <si>
    <t>75.8°N, 149.2°E</t>
  </si>
  <si>
    <r>
      <rPr>
        <sz val="11"/>
        <color rgb="FF1F1F1F"/>
        <rFont val="Arial"/>
        <charset val="134"/>
      </rPr>
      <t xml:space="preserve">全年结束。磁极已降至 </t>
    </r>
    <r>
      <rPr>
        <b/>
        <sz val="11"/>
        <color rgb="FF1F1F1F"/>
        <rFont val="Arial"/>
        <charset val="134"/>
      </rPr>
      <t>84.5°N</t>
    </r>
    <r>
      <rPr>
        <sz val="11"/>
        <color rgb="FF1F1F1F"/>
        <rFont val="Arial"/>
        <charset val="134"/>
      </rPr>
      <t xml:space="preserve"> 附近，离极点约 610 公里。</t>
    </r>
  </si>
  <si>
    <t>68.40°S, 123.76°E</t>
  </si>
  <si>
    <r>
      <rPr>
        <b/>
        <sz val="11"/>
        <color rgb="FF1F1F1F"/>
        <rFont val="Arial"/>
        <charset val="134"/>
      </rPr>
      <t>87.25°S</t>
    </r>
    <r>
      <rPr>
        <sz val="11"/>
        <color rgb="FF1F1F1F"/>
        <rFont val="Arial"/>
        <charset val="134"/>
      </rPr>
      <t>, 328.60°E</t>
    </r>
  </si>
  <si>
    <t>全年结束。厚度维持在 550 平台，标志着系统进入了“筑高位平台”期。</t>
  </si>
  <si>
    <t>2025年7月1日：600km 某观测点 24 小时氢氧浓度审计表（单位：$10^5 \ atoms/cm^3$）</t>
  </si>
  <si>
    <t>时间 (LST)</t>
  </si>
  <si>
    <t>氢原子 (H)</t>
  </si>
  <si>
    <t>氧原子 (O)</t>
  </si>
  <si>
    <t>逻辑审计建议</t>
  </si>
  <si>
    <r>
      <rPr>
        <b/>
        <sz val="11"/>
        <color rgb="FF1F1F1F"/>
        <rFont val="Arial"/>
        <charset val="134"/>
      </rPr>
      <t>子夜极值</t>
    </r>
    <r>
      <rPr>
        <sz val="11"/>
        <color rgb="FF1F1F1F"/>
        <rFont val="Arial"/>
        <charset val="134"/>
      </rPr>
      <t>：夜晚是氢的“避风港”，浓度达到全天最高。</t>
    </r>
  </si>
  <si>
    <t>持续冷缩，氧原子继续下沉，氢资产高度富集。</t>
  </si>
  <si>
    <t>黎明前的静默，系统处于最低能级态。</t>
  </si>
  <si>
    <r>
      <rPr>
        <b/>
        <sz val="11"/>
        <color rgb="FF1F1F1F"/>
        <rFont val="Arial"/>
        <charset val="134"/>
      </rPr>
      <t>日出奇点</t>
    </r>
    <r>
      <rPr>
        <sz val="11"/>
        <color rgb="FF1F1F1F"/>
        <rFont val="Arial"/>
        <charset val="134"/>
      </rPr>
      <t>：第一缕光线抵达，氧气开始受热抬头，氢开始流失。</t>
    </r>
  </si>
  <si>
    <r>
      <rPr>
        <b/>
        <sz val="11"/>
        <color rgb="FF1F1F1F"/>
        <rFont val="Arial"/>
        <charset val="134"/>
      </rPr>
      <t>能级爬坡</t>
    </r>
    <r>
      <rPr>
        <sz val="11"/>
        <color rgb="FF1F1F1F"/>
        <rFont val="Arial"/>
        <charset val="134"/>
      </rPr>
      <t>：光磁感应激活，“制氢带”开始原位洗出，但氧的排挤效应同步开启。</t>
    </r>
  </si>
  <si>
    <r>
      <rPr>
        <b/>
        <sz val="11"/>
        <color rgb="FF1F1F1F"/>
        <rFont val="Arial"/>
        <charset val="134"/>
      </rPr>
      <t>止盈窗口</t>
    </r>
    <r>
      <rPr>
        <sz val="11"/>
        <color rgb="FF1F1F1F"/>
        <rFont val="Arial"/>
        <charset val="134"/>
      </rPr>
      <t>：这是你锚定的清仓时刻，系统正在从“囤积态”转入“剧烈对账态”。</t>
    </r>
  </si>
  <si>
    <r>
      <rPr>
        <b/>
        <sz val="11"/>
        <color rgb="FF1F1F1F"/>
        <rFont val="Arial"/>
        <charset val="134"/>
      </rPr>
      <t>正午倒挂</t>
    </r>
    <r>
      <rPr>
        <sz val="11"/>
        <color rgb="FF1F1F1F"/>
        <rFont val="Arial"/>
        <charset val="134"/>
      </rPr>
      <t>：氧浓度达到顶峰（厚度最厚），氢被强行排挤向夜晚半球。</t>
    </r>
  </si>
  <si>
    <t>热惯性巅峰，氧原子的“屏蔽效应”达到最大。</t>
  </si>
  <si>
    <t>太阳倾角变大，氧气开始回落，氢压强开始反弹。</t>
  </si>
  <si>
    <r>
      <rPr>
        <b/>
        <sz val="11"/>
        <color rgb="FF1F1F1F"/>
        <rFont val="Arial"/>
        <charset val="134"/>
      </rPr>
      <t>日落奇点</t>
    </r>
    <r>
      <rPr>
        <sz val="11"/>
        <color rgb="FF1F1F1F"/>
        <rFont val="Arial"/>
        <charset val="134"/>
      </rPr>
      <t>：能量输入切断，系统进入“冷却泄压”模式。</t>
    </r>
  </si>
  <si>
    <t>氢资产从日照区迅速跨区回流，浓度线性飙升。</t>
  </si>
  <si>
    <t>氧原子撤退，空间被氢再次占领。</t>
  </si>
  <si>
    <t>日期</t>
  </si>
  <si>
    <t>2001/1/1</t>
  </si>
  <si>
    <t>2001/2/1</t>
  </si>
  <si>
    <t>2001/3/1</t>
  </si>
  <si>
    <t>2001/4/1</t>
  </si>
  <si>
    <t>2001/5/1</t>
  </si>
  <si>
    <t>2001/6/1</t>
  </si>
  <si>
    <t>2001/7/1</t>
  </si>
  <si>
    <t>2001/8/1</t>
  </si>
  <si>
    <t>2001/9/1</t>
  </si>
  <si>
    <t>2001/10/1</t>
  </si>
  <si>
    <t>2001/11/1</t>
  </si>
  <si>
    <t>2001/12/1</t>
  </si>
  <si>
    <t>2002/1/1</t>
  </si>
  <si>
    <t>2002/2/1</t>
  </si>
  <si>
    <t>2002/3/1</t>
  </si>
  <si>
    <t>2002/4/1</t>
  </si>
  <si>
    <t>2002/5/1</t>
  </si>
  <si>
    <t>2002/6/1</t>
  </si>
  <si>
    <t>2002/7/1</t>
  </si>
  <si>
    <t>2002/8/1</t>
  </si>
  <si>
    <t>2002/9/1</t>
  </si>
  <si>
    <t>2002/10/1</t>
  </si>
  <si>
    <t>2002/11/1</t>
  </si>
  <si>
    <t>2002/12/1</t>
  </si>
  <si>
    <t>2003/1/1</t>
  </si>
  <si>
    <t>2003/2/1</t>
  </si>
  <si>
    <t>2003/3/1</t>
  </si>
  <si>
    <t>2003/4/1</t>
  </si>
  <si>
    <t>2003/5/1</t>
  </si>
  <si>
    <t>2003/6/1</t>
  </si>
  <si>
    <t>2003/7/1</t>
  </si>
  <si>
    <t>2003/8/1</t>
  </si>
  <si>
    <t>2003/9/1</t>
  </si>
  <si>
    <t>2003/10/1</t>
  </si>
  <si>
    <t>2003/11/1</t>
  </si>
  <si>
    <t>2003/12/1</t>
  </si>
  <si>
    <t>2004/1/1</t>
  </si>
  <si>
    <t>2004/2/1</t>
  </si>
  <si>
    <t>2004/3/1</t>
  </si>
  <si>
    <t>2004/4/1</t>
  </si>
  <si>
    <t>2004/5/1</t>
  </si>
  <si>
    <t>2004/6/1</t>
  </si>
  <si>
    <t>2004/7/1</t>
  </si>
  <si>
    <t>2004/8/1</t>
  </si>
  <si>
    <t>2004/9/1</t>
  </si>
  <si>
    <t>2004/10/1</t>
  </si>
  <si>
    <t>2004/11/1</t>
  </si>
  <si>
    <t>2004/12/1</t>
  </si>
  <si>
    <t>2005/1/1</t>
  </si>
  <si>
    <t>2005/2/1</t>
  </si>
  <si>
    <t>2005/3/1</t>
  </si>
  <si>
    <t>2005/4/1</t>
  </si>
  <si>
    <t>2005/5/1</t>
  </si>
  <si>
    <t>2005/6/1</t>
  </si>
  <si>
    <t>2005/7/1</t>
  </si>
  <si>
    <t>2005/8/1</t>
  </si>
  <si>
    <t>2005/9/1</t>
  </si>
  <si>
    <t>2005/10/1</t>
  </si>
  <si>
    <t>2005/11/1</t>
  </si>
  <si>
    <t>2005/12/1</t>
  </si>
  <si>
    <t>2006/1/1</t>
  </si>
  <si>
    <t>2006/2/1</t>
  </si>
  <si>
    <t>2006/3/1</t>
  </si>
  <si>
    <t>2006/4/1</t>
  </si>
  <si>
    <t>2006/5/1</t>
  </si>
  <si>
    <t>2006/6/1</t>
  </si>
  <si>
    <t>2006/7/1</t>
  </si>
  <si>
    <t>2006/8/1</t>
  </si>
  <si>
    <t>2006/9/1</t>
  </si>
  <si>
    <t>2006/10/1</t>
  </si>
  <si>
    <t>2006/11/1</t>
  </si>
  <si>
    <t>2006/12/1</t>
  </si>
  <si>
    <t>2007/1/1</t>
  </si>
  <si>
    <t>2007/2/1</t>
  </si>
  <si>
    <t>2007/3/1</t>
  </si>
  <si>
    <t>2007/4/1</t>
  </si>
  <si>
    <t>2007/5/1</t>
  </si>
  <si>
    <t>2007/6/1</t>
  </si>
  <si>
    <t>2007/7/1</t>
  </si>
  <si>
    <t>2007/8/1</t>
  </si>
  <si>
    <t>2007/9/1</t>
  </si>
  <si>
    <t>2007/10/1</t>
  </si>
  <si>
    <t>2007/11/1</t>
  </si>
  <si>
    <t>2007/12/1</t>
  </si>
  <si>
    <t>2008/1/1</t>
  </si>
  <si>
    <t>2008/2/1</t>
  </si>
  <si>
    <t>2008/3/1</t>
  </si>
  <si>
    <t>2008/4/1</t>
  </si>
  <si>
    <t>2008/5/1</t>
  </si>
  <si>
    <t>2008/6/1</t>
  </si>
  <si>
    <t>2008/7/1</t>
  </si>
  <si>
    <t>2008/8/1</t>
  </si>
  <si>
    <t>2008/9/1</t>
  </si>
  <si>
    <t>2008/10/1</t>
  </si>
  <si>
    <t>2008/11/1</t>
  </si>
  <si>
    <t>2008/12/1</t>
  </si>
  <si>
    <t>2009/1/1</t>
  </si>
  <si>
    <t>2009/2/1</t>
  </si>
  <si>
    <t>2009/3/1</t>
  </si>
  <si>
    <t>2009/4/1</t>
  </si>
  <si>
    <t>2009/5/1</t>
  </si>
  <si>
    <t>2009/6/1</t>
  </si>
  <si>
    <t>2009/7/1</t>
  </si>
  <si>
    <t>2009/8/1</t>
  </si>
  <si>
    <t>2009/9/1</t>
  </si>
  <si>
    <t>2009/10/1</t>
  </si>
  <si>
    <t>2009/11/1</t>
  </si>
  <si>
    <t>2009/12/1</t>
  </si>
  <si>
    <t>2010/1/1</t>
  </si>
  <si>
    <t>2010/2/1</t>
  </si>
  <si>
    <t>2010/3/1</t>
  </si>
  <si>
    <t>2010/4/1</t>
  </si>
  <si>
    <t>2010/5/1</t>
  </si>
  <si>
    <t>2010/6/1</t>
  </si>
  <si>
    <t>2010/7/1</t>
  </si>
  <si>
    <t>2010/8/1</t>
  </si>
  <si>
    <t>2010/9/1</t>
  </si>
  <si>
    <t>2010/10/1</t>
  </si>
  <si>
    <t>2010/11/1</t>
  </si>
  <si>
    <t>2010/12/1</t>
  </si>
  <si>
    <t>2011/1/1</t>
  </si>
  <si>
    <t>2011/2/1</t>
  </si>
  <si>
    <t>2011/3/1</t>
  </si>
  <si>
    <t>2011/4/1</t>
  </si>
  <si>
    <t>2011/5/1</t>
  </si>
  <si>
    <t>2011/6/1</t>
  </si>
  <si>
    <t>2011/7/1</t>
  </si>
  <si>
    <t>2011/8/1</t>
  </si>
  <si>
    <t>2011/9/1</t>
  </si>
  <si>
    <t>2011/10/1</t>
  </si>
  <si>
    <t>2011/11/1</t>
  </si>
  <si>
    <t>2011/12/1</t>
  </si>
  <si>
    <t>2012/1/1</t>
  </si>
  <si>
    <t>2012/2/1</t>
  </si>
  <si>
    <t>2012/3/1</t>
  </si>
  <si>
    <t>2012/4/1</t>
  </si>
  <si>
    <t>2012/5/1</t>
  </si>
  <si>
    <t>2012/6/1</t>
  </si>
  <si>
    <t>2012/7/1</t>
  </si>
  <si>
    <t>2012/8/1</t>
  </si>
  <si>
    <t>2012/9/1</t>
  </si>
  <si>
    <t>2012/10/1</t>
  </si>
  <si>
    <t>2012/11/1</t>
  </si>
  <si>
    <t>2012/12/1</t>
  </si>
  <si>
    <t>2013/1/1</t>
  </si>
  <si>
    <t>2013/2/1</t>
  </si>
  <si>
    <t>2013/3/1</t>
  </si>
  <si>
    <t>2013/4/1</t>
  </si>
  <si>
    <t>2013/5/1</t>
  </si>
  <si>
    <t>2013/6/1</t>
  </si>
  <si>
    <t>2013/7/1</t>
  </si>
  <si>
    <t>2013/8/1</t>
  </si>
  <si>
    <t>2013/9/1</t>
  </si>
  <si>
    <t>2013/10/1</t>
  </si>
  <si>
    <t>2013/11/1</t>
  </si>
  <si>
    <t>2013/12/1</t>
  </si>
  <si>
    <t>2014/1/1</t>
  </si>
  <si>
    <t>2014/2/1</t>
  </si>
  <si>
    <t>2014/3/1</t>
  </si>
  <si>
    <t>2014/4/1</t>
  </si>
  <si>
    <t>2014/5/1</t>
  </si>
  <si>
    <t>2014/6/1</t>
  </si>
  <si>
    <t>2014/7/1</t>
  </si>
  <si>
    <t>2014/8/1</t>
  </si>
  <si>
    <t>2014/9/1</t>
  </si>
  <si>
    <t>2014/10/1</t>
  </si>
  <si>
    <t>2014/11/1</t>
  </si>
  <si>
    <t>2014/12/1</t>
  </si>
  <si>
    <t>2015/1/1</t>
  </si>
  <si>
    <t>2015/2/1</t>
  </si>
  <si>
    <t>2015/3/1</t>
  </si>
  <si>
    <t>2015/4/1</t>
  </si>
  <si>
    <t>2015/5/1</t>
  </si>
  <si>
    <t>2015/6/1</t>
  </si>
  <si>
    <t>2015/7/1</t>
  </si>
  <si>
    <t>2015/8/1</t>
  </si>
  <si>
    <t>2015/9/1</t>
  </si>
  <si>
    <t>2015/10/1</t>
  </si>
  <si>
    <t>2015/11/1</t>
  </si>
  <si>
    <t>2015/12/1</t>
  </si>
  <si>
    <t>2016/1/1</t>
  </si>
  <si>
    <t>2016/2/1</t>
  </si>
  <si>
    <t>2016/3/1</t>
  </si>
  <si>
    <t>2016/4/1</t>
  </si>
  <si>
    <t>2016/5/1</t>
  </si>
  <si>
    <t>2016/6/1</t>
  </si>
  <si>
    <t>2016/7/1</t>
  </si>
  <si>
    <t>2016/8/1</t>
  </si>
  <si>
    <t>2016/9/1</t>
  </si>
  <si>
    <t>2016/10/1</t>
  </si>
  <si>
    <t>2016/11/1</t>
  </si>
  <si>
    <t>2016/12/1</t>
  </si>
  <si>
    <t>2017/1/1</t>
  </si>
  <si>
    <t>2017/2/1</t>
  </si>
  <si>
    <t>2017/3/1</t>
  </si>
  <si>
    <t>2017/4/1</t>
  </si>
  <si>
    <t>2017/5/1</t>
  </si>
  <si>
    <t>2017/6/1</t>
  </si>
  <si>
    <t>2017/7/1</t>
  </si>
  <si>
    <t>2017/8/1</t>
  </si>
  <si>
    <t>2017/9/1</t>
  </si>
  <si>
    <t>2017/10/1</t>
  </si>
  <si>
    <t>2017/11/1</t>
  </si>
  <si>
    <t>2017/12/1</t>
  </si>
  <si>
    <t>2018/1/1</t>
  </si>
  <si>
    <t>2018/2/1</t>
  </si>
  <si>
    <t>2018/3/1</t>
  </si>
  <si>
    <t>2018/4/1</t>
  </si>
  <si>
    <t>2018/5/1</t>
  </si>
  <si>
    <t>2018/6/1</t>
  </si>
  <si>
    <t>2018/7/1</t>
  </si>
  <si>
    <t>2018/8/1</t>
  </si>
  <si>
    <t>2018/9/1</t>
  </si>
  <si>
    <t>2018/10/1</t>
  </si>
  <si>
    <t>2018/11/1</t>
  </si>
  <si>
    <t>2018/12/1</t>
  </si>
  <si>
    <t>2019/1/1</t>
  </si>
  <si>
    <t>2019/2/1</t>
  </si>
  <si>
    <t>2019/3/1</t>
  </si>
  <si>
    <t>2019/4/1</t>
  </si>
  <si>
    <t>2019/5/1</t>
  </si>
  <si>
    <t>2019/6/1</t>
  </si>
  <si>
    <t>2019/7/1</t>
  </si>
  <si>
    <t>2019/8/1</t>
  </si>
  <si>
    <t>2019/9/1</t>
  </si>
  <si>
    <t>2019/10/1</t>
  </si>
  <si>
    <t>2019/11/1</t>
  </si>
  <si>
    <t>2019/12/1</t>
  </si>
  <si>
    <t>2020/1/1</t>
  </si>
  <si>
    <t>2020/2/1</t>
  </si>
  <si>
    <t>2020/3/1</t>
  </si>
  <si>
    <t>2020/4/1</t>
  </si>
  <si>
    <t>2020/5/1</t>
  </si>
  <si>
    <t>2020/6/1</t>
  </si>
  <si>
    <t>2020/7/1</t>
  </si>
  <si>
    <t>2020/8/1</t>
  </si>
  <si>
    <t>2020/9/1</t>
  </si>
  <si>
    <t>2020/10/1</t>
  </si>
  <si>
    <t>2020/11/1</t>
  </si>
  <si>
    <t>2020/12/1</t>
  </si>
  <si>
    <t>2021/1/1</t>
  </si>
  <si>
    <t>2021/2/1</t>
  </si>
  <si>
    <t>2021/3/1</t>
  </si>
  <si>
    <t>2021/4/1</t>
  </si>
  <si>
    <t>2021/5/1</t>
  </si>
  <si>
    <t>2021/6/1</t>
  </si>
  <si>
    <t>2021/7/1</t>
  </si>
  <si>
    <t>2021/8/1</t>
  </si>
  <si>
    <t>2021/9/1</t>
  </si>
  <si>
    <t>2021/10/1</t>
  </si>
  <si>
    <t>2021/11/1</t>
  </si>
  <si>
    <t>2021/12/1</t>
  </si>
  <si>
    <t>2022/1/1</t>
  </si>
  <si>
    <t>2022/2/1</t>
  </si>
  <si>
    <t>2022/3/1</t>
  </si>
  <si>
    <t>2022/4/1</t>
  </si>
  <si>
    <t>2022/5/1</t>
  </si>
  <si>
    <t>2022/6/1</t>
  </si>
  <si>
    <t>2022/7/1</t>
  </si>
  <si>
    <t>2022/8/1</t>
  </si>
  <si>
    <t>2022/9/1</t>
  </si>
  <si>
    <t>2022/10/1</t>
  </si>
  <si>
    <t>2022/11/1</t>
  </si>
  <si>
    <t>2022/12/1</t>
  </si>
  <si>
    <t>2023/1/1</t>
  </si>
  <si>
    <t>2023/2/1</t>
  </si>
  <si>
    <t>2023/3/1</t>
  </si>
  <si>
    <t>2023/4/1</t>
  </si>
  <si>
    <t>2023/5/1</t>
  </si>
  <si>
    <t>2023/6/1</t>
  </si>
  <si>
    <t>2023/7/1</t>
  </si>
  <si>
    <t>2023/8/1</t>
  </si>
  <si>
    <t>2023/9/1</t>
  </si>
  <si>
    <t>2023/10/1</t>
  </si>
  <si>
    <t>2023/11/1</t>
  </si>
  <si>
    <t>2023/12/1</t>
  </si>
  <si>
    <t>2024/1/1</t>
  </si>
  <si>
    <t>2024/2/1</t>
  </si>
  <si>
    <t>2024/3/1</t>
  </si>
  <si>
    <t>2024/4/1</t>
  </si>
  <si>
    <t>2024/5/1</t>
  </si>
  <si>
    <t>2024/6/1</t>
  </si>
  <si>
    <t>2024/7/1</t>
  </si>
  <si>
    <t>2024/8/1</t>
  </si>
  <si>
    <t>2024/9/1</t>
  </si>
  <si>
    <t>2024/10/1</t>
  </si>
  <si>
    <t>2024/11/1</t>
  </si>
  <si>
    <t>2024/12/1</t>
  </si>
  <si>
    <t>2025/1/1</t>
  </si>
  <si>
    <t>2025/2/1</t>
  </si>
  <si>
    <t>2025/3/1</t>
  </si>
  <si>
    <t>2025/4/1</t>
  </si>
  <si>
    <t>2025/5/1</t>
  </si>
  <si>
    <t>2025/6/1</t>
  </si>
  <si>
    <t>2025/7/1</t>
  </si>
  <si>
    <t>2025/8/1</t>
  </si>
  <si>
    <t>2025/9/1</t>
  </si>
  <si>
    <t>2025/10/1</t>
  </si>
  <si>
    <t>2025/11/1</t>
  </si>
  <si>
    <t>2025/12/1</t>
  </si>
  <si>
    <t>太阳风强度</t>
  </si>
  <si>
    <t>全球平均气温异常值 (相对于工业革命)乘以100</t>
  </si>
  <si>
    <t>南极点与北极点大气层厚度之和除以20</t>
  </si>
  <si>
    <t>水分子浓度乘以10</t>
  </si>
  <si>
    <r>
      <rPr>
        <b/>
        <sz val="11"/>
        <color rgb="FF1F1F1F"/>
        <rFont val="宋体"/>
        <charset val="134"/>
      </rPr>
      <t>氢原子</t>
    </r>
    <r>
      <rPr>
        <b/>
        <sz val="11"/>
        <color rgb="FF1F1F1F"/>
        <rFont val="Arial"/>
        <charset val="134"/>
      </rPr>
      <t xml:space="preserve"> (H) </t>
    </r>
    <r>
      <rPr>
        <b/>
        <sz val="11"/>
        <color rgb="FF1F1F1F"/>
        <rFont val="宋体"/>
        <charset val="134"/>
      </rPr>
      <t>浓度乘以10</t>
    </r>
  </si>
  <si>
    <r>
      <rPr>
        <b/>
        <sz val="11"/>
        <color rgb="FF1F1F1F"/>
        <rFont val="宋体"/>
        <charset val="134"/>
      </rPr>
      <t>氧原子</t>
    </r>
    <r>
      <rPr>
        <b/>
        <sz val="11"/>
        <color rgb="FF1F1F1F"/>
        <rFont val="Arial"/>
        <charset val="134"/>
      </rPr>
      <t xml:space="preserve"> (O) </t>
    </r>
    <r>
      <rPr>
        <b/>
        <sz val="11"/>
        <color rgb="FF1F1F1F"/>
        <rFont val="宋体"/>
        <charset val="134"/>
      </rPr>
      <t>浓度乘以</t>
    </r>
    <r>
      <rPr>
        <b/>
        <sz val="11"/>
        <color rgb="FF1F1F1F"/>
        <rFont val="Arial"/>
        <charset val="134"/>
      </rPr>
      <t>10</t>
    </r>
  </si>
  <si>
    <t>北极点大气层厚度除以10</t>
  </si>
  <si>
    <t>南极点大气层厚度除以10</t>
  </si>
  <si>
    <t>水和二氧化碳总浓度</t>
  </si>
  <si>
    <t>南半球氢中心纬度</t>
  </si>
  <si>
    <t>二氧化碳平均浓度除以10</t>
  </si>
  <si>
    <t>中子计数率 (Oulu站, Counts/h)除以100</t>
  </si>
  <si>
    <t>200km</t>
  </si>
  <si>
    <t>400km</t>
  </si>
  <si>
    <t>600km</t>
  </si>
  <si>
    <t>800km</t>
  </si>
  <si>
    <t>1000km</t>
  </si>
  <si>
    <t>1200km</t>
  </si>
  <si>
    <t>1400km</t>
  </si>
  <si>
    <t>1600km</t>
  </si>
  <si>
    <t>审计备注</t>
  </si>
  <si>
    <t>冬季收缩，峰值位移至 1000km。</t>
  </si>
  <si>
    <t>能级平稳，制氢带重心稳固。</t>
  </si>
  <si>
    <r>
      <rPr>
        <b/>
        <sz val="11"/>
        <color rgb="FF1F1F1F"/>
        <rFont val="Arial"/>
        <charset val="134"/>
      </rPr>
      <t>春季奇点</t>
    </r>
    <r>
      <rPr>
        <sz val="11"/>
        <color rgb="FF1F1F1F"/>
        <rFont val="Arial"/>
        <charset val="134"/>
      </rPr>
      <t>：全高度能级同步抬升。</t>
    </r>
  </si>
  <si>
    <t>4月爆发期，1000km 处浓度暴涨。</t>
  </si>
  <si>
    <t>磁场催化效率随光照增强而激活。</t>
  </si>
  <si>
    <t>6月能量灌注，1000km 形成“氢海”。</t>
  </si>
  <si>
    <r>
      <rPr>
        <b/>
        <sz val="11"/>
        <color rgb="FF1F1F1F"/>
        <rFont val="Arial"/>
        <charset val="134"/>
      </rPr>
      <t>年度巅峰</t>
    </r>
    <r>
      <rPr>
        <sz val="11"/>
        <color rgb="FF1F1F1F"/>
        <rFont val="Arial"/>
        <charset val="134"/>
      </rPr>
      <t xml:space="preserve">：1000km 处达到 </t>
    </r>
    <r>
      <rPr>
        <b/>
        <sz val="11"/>
        <color rgb="FF1F1F1F"/>
        <rFont val="Arial"/>
        <charset val="134"/>
      </rPr>
      <t>9.85</t>
    </r>
    <r>
      <rPr>
        <sz val="11"/>
        <color rgb="FF1F1F1F"/>
        <rFont val="Arial"/>
        <charset val="134"/>
      </rPr>
      <t xml:space="preserve"> 极值。</t>
    </r>
  </si>
  <si>
    <t>维持高能态，热量开始向下传导。</t>
  </si>
  <si>
    <t>秋季引信启动，氢资产开始结算。</t>
  </si>
  <si>
    <r>
      <rPr>
        <b/>
        <sz val="11"/>
        <color rgb="FF1F1F1F"/>
        <rFont val="Arial"/>
        <charset val="134"/>
      </rPr>
      <t>引信相位</t>
    </r>
    <r>
      <rPr>
        <sz val="11"/>
        <color rgb="FF1F1F1F"/>
        <rFont val="Arial"/>
        <charset val="134"/>
      </rPr>
      <t>：系统进入强制对账。</t>
    </r>
  </si>
  <si>
    <t>回归低能态，氧气底座夺回地盘。</t>
  </si>
  <si>
    <t>年终闭盘。</t>
  </si>
  <si>
    <t>2025 年 7 月 600km 夜晚半球每日对账单（单位：$H$ 为 $10^5 \ atoms/cm^3$；地磁为 $nT$）</t>
  </si>
  <si>
    <t>氢浓度 (H)</t>
  </si>
  <si>
    <t>地磁数值 (nT)</t>
  </si>
  <si>
    <r>
      <rPr>
        <b/>
        <sz val="11"/>
        <color rgb="FF1F1F1F"/>
        <rFont val="Arial"/>
        <charset val="134"/>
      </rPr>
      <t>月初基调</t>
    </r>
    <r>
      <rPr>
        <sz val="11"/>
        <color rgb="FF1F1F1F"/>
        <rFont val="Arial"/>
        <charset val="134"/>
      </rPr>
      <t>：高水位运行，磁场尚能锁住资产。</t>
    </r>
  </si>
  <si>
    <t>磁场微弱波动，氢浓度持续横盘。</t>
  </si>
  <si>
    <r>
      <rPr>
        <b/>
        <sz val="11"/>
        <color rgb="FF1F1F1F"/>
        <rFont val="Arial"/>
        <charset val="134"/>
      </rPr>
      <t>磁场弱化效应</t>
    </r>
    <r>
      <rPr>
        <sz val="11"/>
        <color rgb="FF1F1F1F"/>
        <rFont val="Arial"/>
        <charset val="134"/>
      </rPr>
      <t>：地磁数值下降，氢浓度由于“约束力”减弱而向上漂浮扩散。</t>
    </r>
  </si>
  <si>
    <r>
      <rPr>
        <b/>
        <sz val="11"/>
        <color rgb="FF1F1F1F"/>
        <rFont val="Arial"/>
        <charset val="134"/>
      </rPr>
      <t>磁场增强效应</t>
    </r>
    <r>
      <rPr>
        <sz val="11"/>
        <color rgb="FF1F1F1F"/>
        <rFont val="Arial"/>
        <charset val="134"/>
      </rPr>
      <t>：数值回升，氢原子被强行“压缩”沉降。</t>
    </r>
  </si>
  <si>
    <r>
      <rPr>
        <b/>
        <sz val="11"/>
        <color rgb="FF1F1F1F"/>
        <rFont val="Arial"/>
        <charset val="134"/>
      </rPr>
      <t>警报点</t>
    </r>
    <r>
      <rPr>
        <sz val="11"/>
        <color rgb="FF1F1F1F"/>
        <rFont val="Arial"/>
        <charset val="134"/>
      </rPr>
      <t>：氢浓度逼近 10.0，磁场表现出明显的不稳定性。</t>
    </r>
  </si>
  <si>
    <t>能量跨区流动的剧烈喘息。</t>
  </si>
  <si>
    <r>
      <rPr>
        <b/>
        <sz val="11"/>
        <color rgb="FF1F1F1F"/>
        <rFont val="Arial"/>
        <charset val="134"/>
      </rPr>
      <t>月度极值</t>
    </r>
    <r>
      <rPr>
        <sz val="11"/>
        <color rgb="FF1F1F1F"/>
        <rFont val="Arial"/>
        <charset val="134"/>
      </rPr>
      <t>：夜晚水坝几乎处于溢出边缘。</t>
    </r>
  </si>
  <si>
    <t>月末回落，系统开始向 8 月份的“热量下渗”传导。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</si>
</sst>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1F1F1F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vertical="center" wrapText="1" readingOrder="1"/>
    </xf>
    <xf numFmtId="58" fontId="1" fillId="0" borderId="3" xfId="0" applyNumberFormat="1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3" fontId="2" fillId="0" borderId="3" xfId="0" applyNumberFormat="1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>
      <alignment vertical="center"/>
    </xf>
    <xf numFmtId="0" fontId="5" fillId="0" borderId="2" xfId="0" applyFont="1" applyBorder="1" applyAlignment="1">
      <alignment vertical="center" wrapText="1" readingOrder="1"/>
    </xf>
    <xf numFmtId="0" fontId="6" fillId="0" borderId="0" xfId="0" applyNumberFormat="1" applyFont="1">
      <alignment vertical="center"/>
    </xf>
    <xf numFmtId="0" fontId="5" fillId="0" borderId="3" xfId="0" applyFont="1" applyBorder="1" applyAlignment="1">
      <alignment vertical="center" wrapText="1" readingOrder="1"/>
    </xf>
    <xf numFmtId="0" fontId="0" fillId="0" borderId="1" xfId="0" applyBorder="1">
      <alignment vertical="center"/>
    </xf>
    <xf numFmtId="0" fontId="2" fillId="0" borderId="1" xfId="0" applyNumberFormat="1" applyFont="1" applyBorder="1" applyAlignment="1">
      <alignment vertical="center" wrapText="1" readingOrder="1"/>
    </xf>
    <xf numFmtId="20" fontId="1" fillId="0" borderId="3" xfId="0" applyNumberFormat="1" applyFont="1" applyBorder="1" applyAlignment="1">
      <alignment vertical="center" wrapText="1" readingOrder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分析!$A$2</c:f>
              <c:strCache>
                <c:ptCount val="1"/>
                <c:pt idx="0">
                  <c:v>太阳风强度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分析!$B$1:$KO$1</c:f>
              <c:strCache>
                <c:ptCount val="300"/>
                <c:pt idx="0">
                  <c:v>2001/1/1</c:v>
                </c:pt>
                <c:pt idx="1">
                  <c:v>2001/2/1</c:v>
                </c:pt>
                <c:pt idx="2">
                  <c:v>2001/3/1</c:v>
                </c:pt>
                <c:pt idx="3">
                  <c:v>2001/4/1</c:v>
                </c:pt>
                <c:pt idx="4">
                  <c:v>2001/5/1</c:v>
                </c:pt>
                <c:pt idx="5">
                  <c:v>2001/6/1</c:v>
                </c:pt>
                <c:pt idx="6">
                  <c:v>2001/7/1</c:v>
                </c:pt>
                <c:pt idx="7">
                  <c:v>2001/8/1</c:v>
                </c:pt>
                <c:pt idx="8">
                  <c:v>2001/9/1</c:v>
                </c:pt>
                <c:pt idx="9">
                  <c:v>2001/10/1</c:v>
                </c:pt>
                <c:pt idx="10">
                  <c:v>2001/11/1</c:v>
                </c:pt>
                <c:pt idx="11">
                  <c:v>2001/12/1</c:v>
                </c:pt>
                <c:pt idx="12">
                  <c:v>2002/1/1</c:v>
                </c:pt>
                <c:pt idx="13">
                  <c:v>2002/2/1</c:v>
                </c:pt>
                <c:pt idx="14">
                  <c:v>2002/3/1</c:v>
                </c:pt>
                <c:pt idx="15">
                  <c:v>2002/4/1</c:v>
                </c:pt>
                <c:pt idx="16">
                  <c:v>2002/5/1</c:v>
                </c:pt>
                <c:pt idx="17">
                  <c:v>2002/6/1</c:v>
                </c:pt>
                <c:pt idx="18">
                  <c:v>2002/7/1</c:v>
                </c:pt>
                <c:pt idx="19">
                  <c:v>2002/8/1</c:v>
                </c:pt>
                <c:pt idx="20">
                  <c:v>2002/9/1</c:v>
                </c:pt>
                <c:pt idx="21">
                  <c:v>2002/10/1</c:v>
                </c:pt>
                <c:pt idx="22">
                  <c:v>2002/11/1</c:v>
                </c:pt>
                <c:pt idx="23">
                  <c:v>2002/12/1</c:v>
                </c:pt>
                <c:pt idx="24">
                  <c:v>2003/1/1</c:v>
                </c:pt>
                <c:pt idx="25">
                  <c:v>2003/2/1</c:v>
                </c:pt>
                <c:pt idx="26">
                  <c:v>2003/3/1</c:v>
                </c:pt>
                <c:pt idx="27">
                  <c:v>2003/4/1</c:v>
                </c:pt>
                <c:pt idx="28">
                  <c:v>2003/5/1</c:v>
                </c:pt>
                <c:pt idx="29">
                  <c:v>2003/6/1</c:v>
                </c:pt>
                <c:pt idx="30">
                  <c:v>2003/7/1</c:v>
                </c:pt>
                <c:pt idx="31">
                  <c:v>2003/8/1</c:v>
                </c:pt>
                <c:pt idx="32">
                  <c:v>2003/9/1</c:v>
                </c:pt>
                <c:pt idx="33">
                  <c:v>2003/10/1</c:v>
                </c:pt>
                <c:pt idx="34">
                  <c:v>2003/11/1</c:v>
                </c:pt>
                <c:pt idx="35">
                  <c:v>2003/12/1</c:v>
                </c:pt>
                <c:pt idx="36">
                  <c:v>2004/1/1</c:v>
                </c:pt>
                <c:pt idx="37">
                  <c:v>2004/2/1</c:v>
                </c:pt>
                <c:pt idx="38">
                  <c:v>2004/3/1</c:v>
                </c:pt>
                <c:pt idx="39">
                  <c:v>2004/4/1</c:v>
                </c:pt>
                <c:pt idx="40">
                  <c:v>2004/5/1</c:v>
                </c:pt>
                <c:pt idx="41">
                  <c:v>2004/6/1</c:v>
                </c:pt>
                <c:pt idx="42">
                  <c:v>2004/7/1</c:v>
                </c:pt>
                <c:pt idx="43">
                  <c:v>2004/8/1</c:v>
                </c:pt>
                <c:pt idx="44">
                  <c:v>2004/9/1</c:v>
                </c:pt>
                <c:pt idx="45">
                  <c:v>2004/10/1</c:v>
                </c:pt>
                <c:pt idx="46">
                  <c:v>2004/11/1</c:v>
                </c:pt>
                <c:pt idx="47">
                  <c:v>2004/12/1</c:v>
                </c:pt>
                <c:pt idx="48">
                  <c:v>2005/1/1</c:v>
                </c:pt>
                <c:pt idx="49">
                  <c:v>2005/2/1</c:v>
                </c:pt>
                <c:pt idx="50">
                  <c:v>2005/3/1</c:v>
                </c:pt>
                <c:pt idx="51">
                  <c:v>2005/4/1</c:v>
                </c:pt>
                <c:pt idx="52">
                  <c:v>2005/5/1</c:v>
                </c:pt>
                <c:pt idx="53">
                  <c:v>2005/6/1</c:v>
                </c:pt>
                <c:pt idx="54">
                  <c:v>2005/7/1</c:v>
                </c:pt>
                <c:pt idx="55">
                  <c:v>2005/8/1</c:v>
                </c:pt>
                <c:pt idx="56">
                  <c:v>2005/9/1</c:v>
                </c:pt>
                <c:pt idx="57">
                  <c:v>2005/10/1</c:v>
                </c:pt>
                <c:pt idx="58">
                  <c:v>2005/11/1</c:v>
                </c:pt>
                <c:pt idx="59">
                  <c:v>2005/12/1</c:v>
                </c:pt>
                <c:pt idx="60">
                  <c:v>2006/1/1</c:v>
                </c:pt>
                <c:pt idx="61">
                  <c:v>2006/2/1</c:v>
                </c:pt>
                <c:pt idx="62">
                  <c:v>2006/3/1</c:v>
                </c:pt>
                <c:pt idx="63">
                  <c:v>2006/4/1</c:v>
                </c:pt>
                <c:pt idx="64">
                  <c:v>2006/5/1</c:v>
                </c:pt>
                <c:pt idx="65">
                  <c:v>2006/6/1</c:v>
                </c:pt>
                <c:pt idx="66">
                  <c:v>2006/7/1</c:v>
                </c:pt>
                <c:pt idx="67">
                  <c:v>2006/8/1</c:v>
                </c:pt>
                <c:pt idx="68">
                  <c:v>2006/9/1</c:v>
                </c:pt>
                <c:pt idx="69">
                  <c:v>2006/10/1</c:v>
                </c:pt>
                <c:pt idx="70">
                  <c:v>2006/11/1</c:v>
                </c:pt>
                <c:pt idx="71">
                  <c:v>2006/12/1</c:v>
                </c:pt>
                <c:pt idx="72">
                  <c:v>2007/1/1</c:v>
                </c:pt>
                <c:pt idx="73">
                  <c:v>2007/2/1</c:v>
                </c:pt>
                <c:pt idx="74">
                  <c:v>2007/3/1</c:v>
                </c:pt>
                <c:pt idx="75">
                  <c:v>2007/4/1</c:v>
                </c:pt>
                <c:pt idx="76">
                  <c:v>2007/5/1</c:v>
                </c:pt>
                <c:pt idx="77">
                  <c:v>2007/6/1</c:v>
                </c:pt>
                <c:pt idx="78">
                  <c:v>2007/7/1</c:v>
                </c:pt>
                <c:pt idx="79">
                  <c:v>2007/8/1</c:v>
                </c:pt>
                <c:pt idx="80">
                  <c:v>2007/9/1</c:v>
                </c:pt>
                <c:pt idx="81">
                  <c:v>2007/10/1</c:v>
                </c:pt>
                <c:pt idx="82">
                  <c:v>2007/11/1</c:v>
                </c:pt>
                <c:pt idx="83">
                  <c:v>2007/12/1</c:v>
                </c:pt>
                <c:pt idx="84">
                  <c:v>2008/1/1</c:v>
                </c:pt>
                <c:pt idx="85">
                  <c:v>2008/2/1</c:v>
                </c:pt>
                <c:pt idx="86">
                  <c:v>2008/3/1</c:v>
                </c:pt>
                <c:pt idx="87">
                  <c:v>2008/4/1</c:v>
                </c:pt>
                <c:pt idx="88">
                  <c:v>2008/5/1</c:v>
                </c:pt>
                <c:pt idx="89">
                  <c:v>2008/6/1</c:v>
                </c:pt>
                <c:pt idx="90">
                  <c:v>2008/7/1</c:v>
                </c:pt>
                <c:pt idx="91">
                  <c:v>2008/8/1</c:v>
                </c:pt>
                <c:pt idx="92">
                  <c:v>2008/9/1</c:v>
                </c:pt>
                <c:pt idx="93">
                  <c:v>2008/10/1</c:v>
                </c:pt>
                <c:pt idx="94">
                  <c:v>2008/11/1</c:v>
                </c:pt>
                <c:pt idx="95">
                  <c:v>2008/12/1</c:v>
                </c:pt>
                <c:pt idx="96">
                  <c:v>2009/1/1</c:v>
                </c:pt>
                <c:pt idx="97">
                  <c:v>2009/2/1</c:v>
                </c:pt>
                <c:pt idx="98">
                  <c:v>2009/3/1</c:v>
                </c:pt>
                <c:pt idx="99">
                  <c:v>2009/4/1</c:v>
                </c:pt>
                <c:pt idx="100">
                  <c:v>2009/5/1</c:v>
                </c:pt>
                <c:pt idx="101">
                  <c:v>2009/6/1</c:v>
                </c:pt>
                <c:pt idx="102">
                  <c:v>2009/7/1</c:v>
                </c:pt>
                <c:pt idx="103">
                  <c:v>2009/8/1</c:v>
                </c:pt>
                <c:pt idx="104">
                  <c:v>2009/9/1</c:v>
                </c:pt>
                <c:pt idx="105">
                  <c:v>2009/10/1</c:v>
                </c:pt>
                <c:pt idx="106">
                  <c:v>2009/11/1</c:v>
                </c:pt>
                <c:pt idx="107">
                  <c:v>2009/12/1</c:v>
                </c:pt>
                <c:pt idx="108">
                  <c:v>2010/1/1</c:v>
                </c:pt>
                <c:pt idx="109">
                  <c:v>2010/2/1</c:v>
                </c:pt>
                <c:pt idx="110">
                  <c:v>2010/3/1</c:v>
                </c:pt>
                <c:pt idx="111">
                  <c:v>2010/4/1</c:v>
                </c:pt>
                <c:pt idx="112">
                  <c:v>2010/5/1</c:v>
                </c:pt>
                <c:pt idx="113">
                  <c:v>2010/6/1</c:v>
                </c:pt>
                <c:pt idx="114">
                  <c:v>2010/7/1</c:v>
                </c:pt>
                <c:pt idx="115">
                  <c:v>2010/8/1</c:v>
                </c:pt>
                <c:pt idx="116">
                  <c:v>2010/9/1</c:v>
                </c:pt>
                <c:pt idx="117">
                  <c:v>2010/10/1</c:v>
                </c:pt>
                <c:pt idx="118">
                  <c:v>2010/11/1</c:v>
                </c:pt>
                <c:pt idx="119">
                  <c:v>2010/12/1</c:v>
                </c:pt>
                <c:pt idx="120">
                  <c:v>2011/1/1</c:v>
                </c:pt>
                <c:pt idx="121">
                  <c:v>2011/2/1</c:v>
                </c:pt>
                <c:pt idx="122">
                  <c:v>2011/3/1</c:v>
                </c:pt>
                <c:pt idx="123">
                  <c:v>2011/4/1</c:v>
                </c:pt>
                <c:pt idx="124">
                  <c:v>2011/5/1</c:v>
                </c:pt>
                <c:pt idx="125">
                  <c:v>2011/6/1</c:v>
                </c:pt>
                <c:pt idx="126">
                  <c:v>2011/7/1</c:v>
                </c:pt>
                <c:pt idx="127">
                  <c:v>2011/8/1</c:v>
                </c:pt>
                <c:pt idx="128">
                  <c:v>2011/9/1</c:v>
                </c:pt>
                <c:pt idx="129">
                  <c:v>2011/10/1</c:v>
                </c:pt>
                <c:pt idx="130">
                  <c:v>2011/11/1</c:v>
                </c:pt>
                <c:pt idx="131">
                  <c:v>2011/12/1</c:v>
                </c:pt>
                <c:pt idx="132">
                  <c:v>2012/1/1</c:v>
                </c:pt>
                <c:pt idx="133">
                  <c:v>2012/2/1</c:v>
                </c:pt>
                <c:pt idx="134">
                  <c:v>2012/3/1</c:v>
                </c:pt>
                <c:pt idx="135">
                  <c:v>2012/4/1</c:v>
                </c:pt>
                <c:pt idx="136">
                  <c:v>2012/5/1</c:v>
                </c:pt>
                <c:pt idx="137">
                  <c:v>2012/6/1</c:v>
                </c:pt>
                <c:pt idx="138">
                  <c:v>2012/7/1</c:v>
                </c:pt>
                <c:pt idx="139">
                  <c:v>2012/8/1</c:v>
                </c:pt>
                <c:pt idx="140">
                  <c:v>2012/9/1</c:v>
                </c:pt>
                <c:pt idx="141">
                  <c:v>2012/10/1</c:v>
                </c:pt>
                <c:pt idx="142">
                  <c:v>2012/11/1</c:v>
                </c:pt>
                <c:pt idx="143">
                  <c:v>2012/12/1</c:v>
                </c:pt>
                <c:pt idx="144">
                  <c:v>2013/1/1</c:v>
                </c:pt>
                <c:pt idx="145">
                  <c:v>2013/2/1</c:v>
                </c:pt>
                <c:pt idx="146">
                  <c:v>2013/3/1</c:v>
                </c:pt>
                <c:pt idx="147">
                  <c:v>2013/4/1</c:v>
                </c:pt>
                <c:pt idx="148">
                  <c:v>2013/5/1</c:v>
                </c:pt>
                <c:pt idx="149">
                  <c:v>2013/6/1</c:v>
                </c:pt>
                <c:pt idx="150">
                  <c:v>2013/7/1</c:v>
                </c:pt>
                <c:pt idx="151">
                  <c:v>2013/8/1</c:v>
                </c:pt>
                <c:pt idx="152">
                  <c:v>2013/9/1</c:v>
                </c:pt>
                <c:pt idx="153">
                  <c:v>2013/10/1</c:v>
                </c:pt>
                <c:pt idx="154">
                  <c:v>2013/11/1</c:v>
                </c:pt>
                <c:pt idx="155">
                  <c:v>2013/12/1</c:v>
                </c:pt>
                <c:pt idx="156">
                  <c:v>2014/1/1</c:v>
                </c:pt>
                <c:pt idx="157">
                  <c:v>2014/2/1</c:v>
                </c:pt>
                <c:pt idx="158">
                  <c:v>2014/3/1</c:v>
                </c:pt>
                <c:pt idx="159">
                  <c:v>2014/4/1</c:v>
                </c:pt>
                <c:pt idx="160">
                  <c:v>2014/5/1</c:v>
                </c:pt>
                <c:pt idx="161">
                  <c:v>2014/6/1</c:v>
                </c:pt>
                <c:pt idx="162">
                  <c:v>2014/7/1</c:v>
                </c:pt>
                <c:pt idx="163">
                  <c:v>2014/8/1</c:v>
                </c:pt>
                <c:pt idx="164">
                  <c:v>2014/9/1</c:v>
                </c:pt>
                <c:pt idx="165">
                  <c:v>2014/10/1</c:v>
                </c:pt>
                <c:pt idx="166">
                  <c:v>2014/11/1</c:v>
                </c:pt>
                <c:pt idx="167">
                  <c:v>2014/12/1</c:v>
                </c:pt>
                <c:pt idx="168">
                  <c:v>2015/1/1</c:v>
                </c:pt>
                <c:pt idx="169">
                  <c:v>2015/2/1</c:v>
                </c:pt>
                <c:pt idx="170">
                  <c:v>2015/3/1</c:v>
                </c:pt>
                <c:pt idx="171">
                  <c:v>2015/4/1</c:v>
                </c:pt>
                <c:pt idx="172">
                  <c:v>2015/5/1</c:v>
                </c:pt>
                <c:pt idx="173">
                  <c:v>2015/6/1</c:v>
                </c:pt>
                <c:pt idx="174">
                  <c:v>2015/7/1</c:v>
                </c:pt>
                <c:pt idx="175">
                  <c:v>2015/8/1</c:v>
                </c:pt>
                <c:pt idx="176">
                  <c:v>2015/9/1</c:v>
                </c:pt>
                <c:pt idx="177">
                  <c:v>2015/10/1</c:v>
                </c:pt>
                <c:pt idx="178">
                  <c:v>2015/11/1</c:v>
                </c:pt>
                <c:pt idx="179">
                  <c:v>2015/12/1</c:v>
                </c:pt>
                <c:pt idx="180">
                  <c:v>2016/1/1</c:v>
                </c:pt>
                <c:pt idx="181">
                  <c:v>2016/2/1</c:v>
                </c:pt>
                <c:pt idx="182">
                  <c:v>2016/3/1</c:v>
                </c:pt>
                <c:pt idx="183">
                  <c:v>2016/4/1</c:v>
                </c:pt>
                <c:pt idx="184">
                  <c:v>2016/5/1</c:v>
                </c:pt>
                <c:pt idx="185">
                  <c:v>2016/6/1</c:v>
                </c:pt>
                <c:pt idx="186">
                  <c:v>2016/7/1</c:v>
                </c:pt>
                <c:pt idx="187">
                  <c:v>2016/8/1</c:v>
                </c:pt>
                <c:pt idx="188">
                  <c:v>2016/9/1</c:v>
                </c:pt>
                <c:pt idx="189">
                  <c:v>2016/10/1</c:v>
                </c:pt>
                <c:pt idx="190">
                  <c:v>2016/11/1</c:v>
                </c:pt>
                <c:pt idx="191">
                  <c:v>2016/12/1</c:v>
                </c:pt>
                <c:pt idx="192">
                  <c:v>2017/1/1</c:v>
                </c:pt>
                <c:pt idx="193">
                  <c:v>2017/2/1</c:v>
                </c:pt>
                <c:pt idx="194">
                  <c:v>2017/3/1</c:v>
                </c:pt>
                <c:pt idx="195">
                  <c:v>2017/4/1</c:v>
                </c:pt>
                <c:pt idx="196">
                  <c:v>2017/5/1</c:v>
                </c:pt>
                <c:pt idx="197">
                  <c:v>2017/6/1</c:v>
                </c:pt>
                <c:pt idx="198">
                  <c:v>2017/7/1</c:v>
                </c:pt>
                <c:pt idx="199">
                  <c:v>2017/8/1</c:v>
                </c:pt>
                <c:pt idx="200">
                  <c:v>2017/9/1</c:v>
                </c:pt>
                <c:pt idx="201">
                  <c:v>2017/10/1</c:v>
                </c:pt>
                <c:pt idx="202">
                  <c:v>2017/11/1</c:v>
                </c:pt>
                <c:pt idx="203">
                  <c:v>2017/12/1</c:v>
                </c:pt>
                <c:pt idx="204">
                  <c:v>2018/1/1</c:v>
                </c:pt>
                <c:pt idx="205">
                  <c:v>2018/2/1</c:v>
                </c:pt>
                <c:pt idx="206">
                  <c:v>2018/3/1</c:v>
                </c:pt>
                <c:pt idx="207">
                  <c:v>2018/4/1</c:v>
                </c:pt>
                <c:pt idx="208">
                  <c:v>2018/5/1</c:v>
                </c:pt>
                <c:pt idx="209">
                  <c:v>2018/6/1</c:v>
                </c:pt>
                <c:pt idx="210">
                  <c:v>2018/7/1</c:v>
                </c:pt>
                <c:pt idx="211">
                  <c:v>2018/8/1</c:v>
                </c:pt>
                <c:pt idx="212">
                  <c:v>2018/9/1</c:v>
                </c:pt>
                <c:pt idx="213">
                  <c:v>2018/10/1</c:v>
                </c:pt>
                <c:pt idx="214">
                  <c:v>2018/11/1</c:v>
                </c:pt>
                <c:pt idx="215">
                  <c:v>2018/12/1</c:v>
                </c:pt>
                <c:pt idx="216">
                  <c:v>2019/1/1</c:v>
                </c:pt>
                <c:pt idx="217">
                  <c:v>2019/2/1</c:v>
                </c:pt>
                <c:pt idx="218">
                  <c:v>2019/3/1</c:v>
                </c:pt>
                <c:pt idx="219">
                  <c:v>2019/4/1</c:v>
                </c:pt>
                <c:pt idx="220">
                  <c:v>2019/5/1</c:v>
                </c:pt>
                <c:pt idx="221">
                  <c:v>2019/6/1</c:v>
                </c:pt>
                <c:pt idx="222">
                  <c:v>2019/7/1</c:v>
                </c:pt>
                <c:pt idx="223">
                  <c:v>2019/8/1</c:v>
                </c:pt>
                <c:pt idx="224">
                  <c:v>2019/9/1</c:v>
                </c:pt>
                <c:pt idx="225">
                  <c:v>2019/10/1</c:v>
                </c:pt>
                <c:pt idx="226">
                  <c:v>2019/11/1</c:v>
                </c:pt>
                <c:pt idx="227">
                  <c:v>2019/12/1</c:v>
                </c:pt>
                <c:pt idx="228">
                  <c:v>2020/1/1</c:v>
                </c:pt>
                <c:pt idx="229">
                  <c:v>2020/2/1</c:v>
                </c:pt>
                <c:pt idx="230">
                  <c:v>2020/3/1</c:v>
                </c:pt>
                <c:pt idx="231">
                  <c:v>2020/4/1</c:v>
                </c:pt>
                <c:pt idx="232">
                  <c:v>2020/5/1</c:v>
                </c:pt>
                <c:pt idx="233">
                  <c:v>2020/6/1</c:v>
                </c:pt>
                <c:pt idx="234">
                  <c:v>2020/7/1</c:v>
                </c:pt>
                <c:pt idx="235">
                  <c:v>2020/8/1</c:v>
                </c:pt>
                <c:pt idx="236">
                  <c:v>2020/9/1</c:v>
                </c:pt>
                <c:pt idx="237">
                  <c:v>2020/10/1</c:v>
                </c:pt>
                <c:pt idx="238">
                  <c:v>2020/11/1</c:v>
                </c:pt>
                <c:pt idx="239">
                  <c:v>2020/12/1</c:v>
                </c:pt>
                <c:pt idx="240">
                  <c:v>2021/1/1</c:v>
                </c:pt>
                <c:pt idx="241">
                  <c:v>2021/2/1</c:v>
                </c:pt>
                <c:pt idx="242">
                  <c:v>2021/3/1</c:v>
                </c:pt>
                <c:pt idx="243">
                  <c:v>2021/4/1</c:v>
                </c:pt>
                <c:pt idx="244">
                  <c:v>2021/5/1</c:v>
                </c:pt>
                <c:pt idx="245">
                  <c:v>2021/6/1</c:v>
                </c:pt>
                <c:pt idx="246">
                  <c:v>2021/7/1</c:v>
                </c:pt>
                <c:pt idx="247">
                  <c:v>2021/8/1</c:v>
                </c:pt>
                <c:pt idx="248">
                  <c:v>2021/9/1</c:v>
                </c:pt>
                <c:pt idx="249">
                  <c:v>2021/10/1</c:v>
                </c:pt>
                <c:pt idx="250">
                  <c:v>2021/11/1</c:v>
                </c:pt>
                <c:pt idx="251">
                  <c:v>2021/12/1</c:v>
                </c:pt>
                <c:pt idx="252">
                  <c:v>2022/1/1</c:v>
                </c:pt>
                <c:pt idx="253">
                  <c:v>2022/2/1</c:v>
                </c:pt>
                <c:pt idx="254">
                  <c:v>2022/3/1</c:v>
                </c:pt>
                <c:pt idx="255">
                  <c:v>2022/4/1</c:v>
                </c:pt>
                <c:pt idx="256">
                  <c:v>2022/5/1</c:v>
                </c:pt>
                <c:pt idx="257">
                  <c:v>2022/6/1</c:v>
                </c:pt>
                <c:pt idx="258">
                  <c:v>2022/7/1</c:v>
                </c:pt>
                <c:pt idx="259">
                  <c:v>2022/8/1</c:v>
                </c:pt>
                <c:pt idx="260">
                  <c:v>2022/9/1</c:v>
                </c:pt>
                <c:pt idx="261">
                  <c:v>2022/10/1</c:v>
                </c:pt>
                <c:pt idx="262">
                  <c:v>2022/11/1</c:v>
                </c:pt>
                <c:pt idx="263">
                  <c:v>2022/12/1</c:v>
                </c:pt>
                <c:pt idx="264">
                  <c:v>2023/1/1</c:v>
                </c:pt>
                <c:pt idx="265">
                  <c:v>2023/2/1</c:v>
                </c:pt>
                <c:pt idx="266">
                  <c:v>2023/3/1</c:v>
                </c:pt>
                <c:pt idx="267">
                  <c:v>2023/4/1</c:v>
                </c:pt>
                <c:pt idx="268">
                  <c:v>2023/5/1</c:v>
                </c:pt>
                <c:pt idx="269">
                  <c:v>2023/6/1</c:v>
                </c:pt>
                <c:pt idx="270">
                  <c:v>2023/7/1</c:v>
                </c:pt>
                <c:pt idx="271">
                  <c:v>2023/8/1</c:v>
                </c:pt>
                <c:pt idx="272">
                  <c:v>2023/9/1</c:v>
                </c:pt>
                <c:pt idx="273">
                  <c:v>2023/10/1</c:v>
                </c:pt>
                <c:pt idx="274">
                  <c:v>2023/11/1</c:v>
                </c:pt>
                <c:pt idx="275">
                  <c:v>2023/12/1</c:v>
                </c:pt>
                <c:pt idx="276">
                  <c:v>2024/1/1</c:v>
                </c:pt>
                <c:pt idx="277">
                  <c:v>2024/2/1</c:v>
                </c:pt>
                <c:pt idx="278">
                  <c:v>2024/3/1</c:v>
                </c:pt>
                <c:pt idx="279">
                  <c:v>2024/4/1</c:v>
                </c:pt>
                <c:pt idx="280">
                  <c:v>2024/5/1</c:v>
                </c:pt>
                <c:pt idx="281">
                  <c:v>2024/6/1</c:v>
                </c:pt>
                <c:pt idx="282">
                  <c:v>2024/7/1</c:v>
                </c:pt>
                <c:pt idx="283">
                  <c:v>2024/8/1</c:v>
                </c:pt>
                <c:pt idx="284">
                  <c:v>2024/9/1</c:v>
                </c:pt>
                <c:pt idx="285">
                  <c:v>2024/10/1</c:v>
                </c:pt>
                <c:pt idx="286">
                  <c:v>2024/11/1</c:v>
                </c:pt>
                <c:pt idx="287">
                  <c:v>2024/12/1</c:v>
                </c:pt>
                <c:pt idx="288">
                  <c:v>2025/1/1</c:v>
                </c:pt>
                <c:pt idx="289">
                  <c:v>2025/2/1</c:v>
                </c:pt>
                <c:pt idx="290">
                  <c:v>2025/3/1</c:v>
                </c:pt>
                <c:pt idx="291">
                  <c:v>2025/4/1</c:v>
                </c:pt>
                <c:pt idx="292">
                  <c:v>2025/5/1</c:v>
                </c:pt>
                <c:pt idx="293">
                  <c:v>2025/6/1</c:v>
                </c:pt>
                <c:pt idx="294">
                  <c:v>2025/7/1</c:v>
                </c:pt>
                <c:pt idx="295">
                  <c:v>2025/8/1</c:v>
                </c:pt>
                <c:pt idx="296">
                  <c:v>2025/9/1</c:v>
                </c:pt>
                <c:pt idx="297">
                  <c:v>2025/10/1</c:v>
                </c:pt>
                <c:pt idx="298">
                  <c:v>2025/11/1</c:v>
                </c:pt>
                <c:pt idx="299">
                  <c:v>2025/12/1</c:v>
                </c:pt>
              </c:strCache>
            </c:strRef>
          </c:cat>
          <c:val>
            <c:numRef>
              <c:f>分析!$B$2:$KO$2</c:f>
              <c:numCache>
                <c:formatCode>General</c:formatCode>
                <c:ptCount val="300"/>
                <c:pt idx="0">
                  <c:v>142.4</c:v>
                </c:pt>
                <c:pt idx="1">
                  <c:v>142.55</c:v>
                </c:pt>
                <c:pt idx="2">
                  <c:v>142.8</c:v>
                </c:pt>
                <c:pt idx="3">
                  <c:v>145.2</c:v>
                </c:pt>
                <c:pt idx="4">
                  <c:v>143.9</c:v>
                </c:pt>
                <c:pt idx="5">
                  <c:v>143.2</c:v>
                </c:pt>
                <c:pt idx="6">
                  <c:v>142.95</c:v>
                </c:pt>
                <c:pt idx="7">
                  <c:v>142.75</c:v>
                </c:pt>
                <c:pt idx="8">
                  <c:v>143.5</c:v>
                </c:pt>
                <c:pt idx="9">
                  <c:v>143.1</c:v>
                </c:pt>
                <c:pt idx="10">
                  <c:v>144.1</c:v>
                </c:pt>
                <c:pt idx="11">
                  <c:v>143.7</c:v>
                </c:pt>
                <c:pt idx="12">
                  <c:v>142.9</c:v>
                </c:pt>
                <c:pt idx="13">
                  <c:v>142.6</c:v>
                </c:pt>
                <c:pt idx="14">
                  <c:v>142.15</c:v>
                </c:pt>
                <c:pt idx="15">
                  <c:v>141.9</c:v>
                </c:pt>
                <c:pt idx="16">
                  <c:v>142.35</c:v>
                </c:pt>
                <c:pt idx="17">
                  <c:v>142.1</c:v>
                </c:pt>
                <c:pt idx="18">
                  <c:v>144.2</c:v>
                </c:pt>
                <c:pt idx="19">
                  <c:v>142.8</c:v>
                </c:pt>
                <c:pt idx="20">
                  <c:v>141.6</c:v>
                </c:pt>
                <c:pt idx="21">
                  <c:v>141.1</c:v>
                </c:pt>
                <c:pt idx="22">
                  <c:v>140.7</c:v>
                </c:pt>
                <c:pt idx="23">
                  <c:v>139.8</c:v>
                </c:pt>
                <c:pt idx="24">
                  <c:v>139.55</c:v>
                </c:pt>
                <c:pt idx="25">
                  <c:v>140.2</c:v>
                </c:pt>
                <c:pt idx="26">
                  <c:v>139.8</c:v>
                </c:pt>
                <c:pt idx="27">
                  <c:v>139.2</c:v>
                </c:pt>
                <c:pt idx="28">
                  <c:v>138.8</c:v>
                </c:pt>
                <c:pt idx="29">
                  <c:v>138.5</c:v>
                </c:pt>
                <c:pt idx="30">
                  <c:v>138.2</c:v>
                </c:pt>
                <c:pt idx="31">
                  <c:v>138.05</c:v>
                </c:pt>
                <c:pt idx="32">
                  <c:v>137.6</c:v>
                </c:pt>
                <c:pt idx="33">
                  <c:v>137.2</c:v>
                </c:pt>
                <c:pt idx="34">
                  <c:v>141.5</c:v>
                </c:pt>
                <c:pt idx="35">
                  <c:v>138.2</c:v>
                </c:pt>
                <c:pt idx="36">
                  <c:v>137.75</c:v>
                </c:pt>
                <c:pt idx="37">
                  <c:v>138.1</c:v>
                </c:pt>
                <c:pt idx="38">
                  <c:v>137.65</c:v>
                </c:pt>
                <c:pt idx="39">
                  <c:v>137.9</c:v>
                </c:pt>
                <c:pt idx="40">
                  <c:v>137.5</c:v>
                </c:pt>
                <c:pt idx="41">
                  <c:v>137.3</c:v>
                </c:pt>
                <c:pt idx="42">
                  <c:v>137.55</c:v>
                </c:pt>
                <c:pt idx="43">
                  <c:v>137.15</c:v>
                </c:pt>
                <c:pt idx="44">
                  <c:v>136.9</c:v>
                </c:pt>
                <c:pt idx="45">
                  <c:v>137.05</c:v>
                </c:pt>
                <c:pt idx="46">
                  <c:v>138.6</c:v>
                </c:pt>
                <c:pt idx="47">
                  <c:v>137.15</c:v>
                </c:pt>
                <c:pt idx="48">
                  <c:v>136.8</c:v>
                </c:pt>
                <c:pt idx="49">
                  <c:v>140.5</c:v>
                </c:pt>
                <c:pt idx="50">
                  <c:v>138.2</c:v>
                </c:pt>
                <c:pt idx="51">
                  <c:v>137.5</c:v>
                </c:pt>
                <c:pt idx="52">
                  <c:v>137.1</c:v>
                </c:pt>
                <c:pt idx="53">
                  <c:v>136.9</c:v>
                </c:pt>
                <c:pt idx="54">
                  <c:v>136.65</c:v>
                </c:pt>
                <c:pt idx="55">
                  <c:v>136.5</c:v>
                </c:pt>
                <c:pt idx="56">
                  <c:v>137.9</c:v>
                </c:pt>
                <c:pt idx="57">
                  <c:v>136.2</c:v>
                </c:pt>
                <c:pt idx="58">
                  <c:v>135.8</c:v>
                </c:pt>
                <c:pt idx="59">
                  <c:v>135.5</c:v>
                </c:pt>
                <c:pt idx="60">
                  <c:v>135.35</c:v>
                </c:pt>
                <c:pt idx="61">
                  <c:v>135.2</c:v>
                </c:pt>
                <c:pt idx="62">
                  <c:v>134.95</c:v>
                </c:pt>
                <c:pt idx="63">
                  <c:v>134.75</c:v>
                </c:pt>
                <c:pt idx="64">
                  <c:v>134.6</c:v>
                </c:pt>
                <c:pt idx="65">
                  <c:v>134.4</c:v>
                </c:pt>
                <c:pt idx="66">
                  <c:v>134.15</c:v>
                </c:pt>
                <c:pt idx="67">
                  <c:v>134</c:v>
                </c:pt>
                <c:pt idx="68">
                  <c:v>133.75</c:v>
                </c:pt>
                <c:pt idx="69">
                  <c:v>133.5</c:v>
                </c:pt>
                <c:pt idx="70">
                  <c:v>133.25</c:v>
                </c:pt>
                <c:pt idx="71">
                  <c:v>134.9</c:v>
                </c:pt>
                <c:pt idx="72">
                  <c:v>134.6</c:v>
                </c:pt>
                <c:pt idx="73">
                  <c:v>134.35</c:v>
                </c:pt>
                <c:pt idx="74">
                  <c:v>134.1</c:v>
                </c:pt>
                <c:pt idx="75">
                  <c:v>133.9</c:v>
                </c:pt>
                <c:pt idx="76">
                  <c:v>133.65</c:v>
                </c:pt>
                <c:pt idx="77">
                  <c:v>133.45</c:v>
                </c:pt>
                <c:pt idx="78">
                  <c:v>133.2</c:v>
                </c:pt>
                <c:pt idx="79">
                  <c:v>133.05</c:v>
                </c:pt>
                <c:pt idx="80">
                  <c:v>132.9</c:v>
                </c:pt>
                <c:pt idx="81">
                  <c:v>132.75</c:v>
                </c:pt>
                <c:pt idx="82">
                  <c:v>132.6</c:v>
                </c:pt>
                <c:pt idx="83">
                  <c:v>132.4</c:v>
                </c:pt>
                <c:pt idx="84">
                  <c:v>132.25</c:v>
                </c:pt>
                <c:pt idx="85">
                  <c:v>132.15</c:v>
                </c:pt>
                <c:pt idx="86">
                  <c:v>132.1</c:v>
                </c:pt>
                <c:pt idx="87">
                  <c:v>132.2</c:v>
                </c:pt>
                <c:pt idx="88">
                  <c:v>131.95</c:v>
                </c:pt>
                <c:pt idx="89">
                  <c:v>131.85</c:v>
                </c:pt>
                <c:pt idx="90">
                  <c:v>131.75</c:v>
                </c:pt>
                <c:pt idx="91">
                  <c:v>131.6</c:v>
                </c:pt>
                <c:pt idx="92">
                  <c:v>131.65</c:v>
                </c:pt>
                <c:pt idx="93">
                  <c:v>131.4</c:v>
                </c:pt>
                <c:pt idx="94">
                  <c:v>131.2</c:v>
                </c:pt>
                <c:pt idx="95">
                  <c:v>131</c:v>
                </c:pt>
                <c:pt idx="96">
                  <c:v>130.8</c:v>
                </c:pt>
                <c:pt idx="97">
                  <c:v>130.65</c:v>
                </c:pt>
                <c:pt idx="98">
                  <c:v>130.5</c:v>
                </c:pt>
                <c:pt idx="99">
                  <c:v>130.55</c:v>
                </c:pt>
                <c:pt idx="100">
                  <c:v>130.4</c:v>
                </c:pt>
                <c:pt idx="101">
                  <c:v>130.15</c:v>
                </c:pt>
                <c:pt idx="102">
                  <c:v>129.85</c:v>
                </c:pt>
                <c:pt idx="103">
                  <c:v>130.05</c:v>
                </c:pt>
                <c:pt idx="104">
                  <c:v>129.8</c:v>
                </c:pt>
                <c:pt idx="105">
                  <c:v>129.95</c:v>
                </c:pt>
                <c:pt idx="106">
                  <c:v>130.9</c:v>
                </c:pt>
                <c:pt idx="107">
                  <c:v>131.6</c:v>
                </c:pt>
                <c:pt idx="108">
                  <c:v>132.1</c:v>
                </c:pt>
                <c:pt idx="109">
                  <c:v>132.5</c:v>
                </c:pt>
                <c:pt idx="110">
                  <c:v>132.95</c:v>
                </c:pt>
                <c:pt idx="111">
                  <c:v>133.6</c:v>
                </c:pt>
                <c:pt idx="112">
                  <c:v>134.1</c:v>
                </c:pt>
                <c:pt idx="113">
                  <c:v>134.65</c:v>
                </c:pt>
                <c:pt idx="114">
                  <c:v>134.9</c:v>
                </c:pt>
                <c:pt idx="115">
                  <c:v>135.8</c:v>
                </c:pt>
                <c:pt idx="116">
                  <c:v>135.35</c:v>
                </c:pt>
                <c:pt idx="117">
                  <c:v>135.1</c:v>
                </c:pt>
                <c:pt idx="118">
                  <c:v>135.55</c:v>
                </c:pt>
                <c:pt idx="119">
                  <c:v>136.2</c:v>
                </c:pt>
                <c:pt idx="120">
                  <c:v>136.4</c:v>
                </c:pt>
                <c:pt idx="121">
                  <c:v>136.85</c:v>
                </c:pt>
                <c:pt idx="122">
                  <c:v>139.6</c:v>
                </c:pt>
                <c:pt idx="123">
                  <c:v>138.8</c:v>
                </c:pt>
                <c:pt idx="124">
                  <c:v>138.2</c:v>
                </c:pt>
                <c:pt idx="125">
                  <c:v>137.9</c:v>
                </c:pt>
                <c:pt idx="126">
                  <c:v>138.05</c:v>
                </c:pt>
                <c:pt idx="127">
                  <c:v>138.3</c:v>
                </c:pt>
                <c:pt idx="128">
                  <c:v>138.85</c:v>
                </c:pt>
                <c:pt idx="129">
                  <c:v>139.15</c:v>
                </c:pt>
                <c:pt idx="130">
                  <c:v>138.7</c:v>
                </c:pt>
                <c:pt idx="131">
                  <c:v>139.1</c:v>
                </c:pt>
                <c:pt idx="132">
                  <c:v>138.9</c:v>
                </c:pt>
                <c:pt idx="133">
                  <c:v>139.4</c:v>
                </c:pt>
                <c:pt idx="134">
                  <c:v>142.2</c:v>
                </c:pt>
                <c:pt idx="135">
                  <c:v>139.85</c:v>
                </c:pt>
                <c:pt idx="136">
                  <c:v>139.6</c:v>
                </c:pt>
                <c:pt idx="137">
                  <c:v>139.15</c:v>
                </c:pt>
                <c:pt idx="138">
                  <c:v>138.8</c:v>
                </c:pt>
                <c:pt idx="139">
                  <c:v>140.6</c:v>
                </c:pt>
                <c:pt idx="140">
                  <c:v>138.5</c:v>
                </c:pt>
                <c:pt idx="141">
                  <c:v>138.15</c:v>
                </c:pt>
                <c:pt idx="142">
                  <c:v>137.7</c:v>
                </c:pt>
                <c:pt idx="143">
                  <c:v>137.4</c:v>
                </c:pt>
                <c:pt idx="144">
                  <c:v>137.6</c:v>
                </c:pt>
                <c:pt idx="145">
                  <c:v>137.95</c:v>
                </c:pt>
                <c:pt idx="146">
                  <c:v>138.2</c:v>
                </c:pt>
                <c:pt idx="147">
                  <c:v>137.8</c:v>
                </c:pt>
                <c:pt idx="148">
                  <c:v>139.6</c:v>
                </c:pt>
                <c:pt idx="149">
                  <c:v>138.9</c:v>
                </c:pt>
                <c:pt idx="150">
                  <c:v>138.65</c:v>
                </c:pt>
                <c:pt idx="151">
                  <c:v>138.4</c:v>
                </c:pt>
                <c:pt idx="152">
                  <c:v>138.1</c:v>
                </c:pt>
                <c:pt idx="153">
                  <c:v>137.75</c:v>
                </c:pt>
                <c:pt idx="154">
                  <c:v>137.5</c:v>
                </c:pt>
                <c:pt idx="155">
                  <c:v>137.05</c:v>
                </c:pt>
                <c:pt idx="156">
                  <c:v>137.4</c:v>
                </c:pt>
                <c:pt idx="157">
                  <c:v>138.2</c:v>
                </c:pt>
                <c:pt idx="158">
                  <c:v>137.05</c:v>
                </c:pt>
                <c:pt idx="159">
                  <c:v>136.7</c:v>
                </c:pt>
                <c:pt idx="160">
                  <c:v>136.85</c:v>
                </c:pt>
                <c:pt idx="161">
                  <c:v>136.55</c:v>
                </c:pt>
                <c:pt idx="162">
                  <c:v>136.25</c:v>
                </c:pt>
                <c:pt idx="163">
                  <c:v>136.1</c:v>
                </c:pt>
                <c:pt idx="164">
                  <c:v>135.85</c:v>
                </c:pt>
                <c:pt idx="165">
                  <c:v>135.65</c:v>
                </c:pt>
                <c:pt idx="166">
                  <c:v>135.4</c:v>
                </c:pt>
                <c:pt idx="167">
                  <c:v>135.15</c:v>
                </c:pt>
                <c:pt idx="168">
                  <c:v>134.95</c:v>
                </c:pt>
                <c:pt idx="169">
                  <c:v>134.8</c:v>
                </c:pt>
                <c:pt idx="170">
                  <c:v>134.55</c:v>
                </c:pt>
                <c:pt idx="171">
                  <c:v>134.3</c:v>
                </c:pt>
                <c:pt idx="172">
                  <c:v>134.05</c:v>
                </c:pt>
                <c:pt idx="173">
                  <c:v>133.85</c:v>
                </c:pt>
                <c:pt idx="174">
                  <c:v>134</c:v>
                </c:pt>
                <c:pt idx="175">
                  <c:v>133.7</c:v>
                </c:pt>
                <c:pt idx="176">
                  <c:v>133.5</c:v>
                </c:pt>
                <c:pt idx="177">
                  <c:v>133.25</c:v>
                </c:pt>
                <c:pt idx="178">
                  <c:v>133.1</c:v>
                </c:pt>
                <c:pt idx="179">
                  <c:v>132.85</c:v>
                </c:pt>
                <c:pt idx="180">
                  <c:v>132.85</c:v>
                </c:pt>
                <c:pt idx="181">
                  <c:v>133.1</c:v>
                </c:pt>
                <c:pt idx="182">
                  <c:v>133.25</c:v>
                </c:pt>
                <c:pt idx="183">
                  <c:v>133</c:v>
                </c:pt>
                <c:pt idx="184">
                  <c:v>132.8</c:v>
                </c:pt>
                <c:pt idx="185">
                  <c:v>132.55</c:v>
                </c:pt>
                <c:pt idx="186">
                  <c:v>132.3</c:v>
                </c:pt>
                <c:pt idx="187">
                  <c:v>132.05</c:v>
                </c:pt>
                <c:pt idx="188">
                  <c:v>132.35</c:v>
                </c:pt>
                <c:pt idx="189">
                  <c:v>132.2</c:v>
                </c:pt>
                <c:pt idx="190">
                  <c:v>131.9</c:v>
                </c:pt>
                <c:pt idx="191">
                  <c:v>131.7</c:v>
                </c:pt>
                <c:pt idx="192">
                  <c:v>131.55</c:v>
                </c:pt>
                <c:pt idx="193">
                  <c:v>131.4</c:v>
                </c:pt>
                <c:pt idx="194">
                  <c:v>131.1</c:v>
                </c:pt>
                <c:pt idx="195">
                  <c:v>131.9</c:v>
                </c:pt>
                <c:pt idx="196">
                  <c:v>131.3</c:v>
                </c:pt>
                <c:pt idx="197">
                  <c:v>131.05</c:v>
                </c:pt>
                <c:pt idx="198">
                  <c:v>130.8</c:v>
                </c:pt>
                <c:pt idx="199">
                  <c:v>130.65</c:v>
                </c:pt>
                <c:pt idx="200">
                  <c:v>132.9</c:v>
                </c:pt>
                <c:pt idx="201">
                  <c:v>131.15</c:v>
                </c:pt>
                <c:pt idx="202">
                  <c:v>130.85</c:v>
                </c:pt>
                <c:pt idx="203">
                  <c:v>130.6</c:v>
                </c:pt>
                <c:pt idx="204">
                  <c:v>130.6</c:v>
                </c:pt>
                <c:pt idx="205">
                  <c:v>130.35</c:v>
                </c:pt>
                <c:pt idx="206">
                  <c:v>130.2</c:v>
                </c:pt>
                <c:pt idx="207">
                  <c:v>130.5</c:v>
                </c:pt>
                <c:pt idx="208">
                  <c:v>130.3</c:v>
                </c:pt>
                <c:pt idx="209">
                  <c:v>130.1</c:v>
                </c:pt>
                <c:pt idx="210">
                  <c:v>129.85</c:v>
                </c:pt>
                <c:pt idx="211">
                  <c:v>129.7</c:v>
                </c:pt>
                <c:pt idx="212">
                  <c:v>129.55</c:v>
                </c:pt>
                <c:pt idx="213">
                  <c:v>129.4</c:v>
                </c:pt>
                <c:pt idx="214">
                  <c:v>129.15</c:v>
                </c:pt>
                <c:pt idx="215">
                  <c:v>128.9</c:v>
                </c:pt>
                <c:pt idx="216">
                  <c:v>128.85</c:v>
                </c:pt>
                <c:pt idx="217">
                  <c:v>128.7</c:v>
                </c:pt>
                <c:pt idx="218">
                  <c:v>128.5</c:v>
                </c:pt>
                <c:pt idx="219">
                  <c:v>128.25</c:v>
                </c:pt>
                <c:pt idx="220">
                  <c:v>128.4</c:v>
                </c:pt>
                <c:pt idx="221">
                  <c:v>128.15</c:v>
                </c:pt>
                <c:pt idx="222">
                  <c:v>128</c:v>
                </c:pt>
                <c:pt idx="223">
                  <c:v>128.1</c:v>
                </c:pt>
                <c:pt idx="224">
                  <c:v>127.85</c:v>
                </c:pt>
                <c:pt idx="225">
                  <c:v>127.75</c:v>
                </c:pt>
                <c:pt idx="226">
                  <c:v>127.6</c:v>
                </c:pt>
                <c:pt idx="227">
                  <c:v>127.5</c:v>
                </c:pt>
                <c:pt idx="228">
                  <c:v>127.65</c:v>
                </c:pt>
                <c:pt idx="229">
                  <c:v>127.8</c:v>
                </c:pt>
                <c:pt idx="230">
                  <c:v>127.95</c:v>
                </c:pt>
                <c:pt idx="231">
                  <c:v>128.15</c:v>
                </c:pt>
                <c:pt idx="232">
                  <c:v>128.4</c:v>
                </c:pt>
                <c:pt idx="233">
                  <c:v>128.6</c:v>
                </c:pt>
                <c:pt idx="234">
                  <c:v>128.75</c:v>
                </c:pt>
                <c:pt idx="235">
                  <c:v>129.05</c:v>
                </c:pt>
                <c:pt idx="236">
                  <c:v>129.3</c:v>
                </c:pt>
                <c:pt idx="237">
                  <c:v>129.55</c:v>
                </c:pt>
                <c:pt idx="238">
                  <c:v>130.2</c:v>
                </c:pt>
                <c:pt idx="239">
                  <c:v>131.85</c:v>
                </c:pt>
                <c:pt idx="240">
                  <c:v>132.2</c:v>
                </c:pt>
                <c:pt idx="241">
                  <c:v>132.45</c:v>
                </c:pt>
                <c:pt idx="242">
                  <c:v>132.9</c:v>
                </c:pt>
                <c:pt idx="243">
                  <c:v>133.15</c:v>
                </c:pt>
                <c:pt idx="244">
                  <c:v>133.6</c:v>
                </c:pt>
                <c:pt idx="245">
                  <c:v>134.1</c:v>
                </c:pt>
                <c:pt idx="246">
                  <c:v>134.35</c:v>
                </c:pt>
                <c:pt idx="247">
                  <c:v>134.8</c:v>
                </c:pt>
                <c:pt idx="248">
                  <c:v>135.15</c:v>
                </c:pt>
                <c:pt idx="249">
                  <c:v>135.4</c:v>
                </c:pt>
                <c:pt idx="250">
                  <c:v>138.1</c:v>
                </c:pt>
                <c:pt idx="251">
                  <c:v>137.2</c:v>
                </c:pt>
                <c:pt idx="252">
                  <c:v>137.4</c:v>
                </c:pt>
                <c:pt idx="253">
                  <c:v>138.05</c:v>
                </c:pt>
                <c:pt idx="254">
                  <c:v>138.6</c:v>
                </c:pt>
                <c:pt idx="255">
                  <c:v>138.25</c:v>
                </c:pt>
                <c:pt idx="256">
                  <c:v>139.1</c:v>
                </c:pt>
                <c:pt idx="257">
                  <c:v>138.85</c:v>
                </c:pt>
                <c:pt idx="258">
                  <c:v>139.2</c:v>
                </c:pt>
                <c:pt idx="259">
                  <c:v>138.65</c:v>
                </c:pt>
                <c:pt idx="260">
                  <c:v>138.4</c:v>
                </c:pt>
                <c:pt idx="261">
                  <c:v>138.8</c:v>
                </c:pt>
                <c:pt idx="262">
                  <c:v>139.05</c:v>
                </c:pt>
                <c:pt idx="263">
                  <c:v>139.6</c:v>
                </c:pt>
                <c:pt idx="264">
                  <c:v>138.35</c:v>
                </c:pt>
                <c:pt idx="265">
                  <c:v>138.8</c:v>
                </c:pt>
                <c:pt idx="266">
                  <c:v>139.1</c:v>
                </c:pt>
                <c:pt idx="267">
                  <c:v>138.45</c:v>
                </c:pt>
                <c:pt idx="268">
                  <c:v>139.8</c:v>
                </c:pt>
                <c:pt idx="269">
                  <c:v>138.2</c:v>
                </c:pt>
                <c:pt idx="270">
                  <c:v>137.85</c:v>
                </c:pt>
                <c:pt idx="271">
                  <c:v>137.6</c:v>
                </c:pt>
                <c:pt idx="272">
                  <c:v>137.35</c:v>
                </c:pt>
                <c:pt idx="273">
                  <c:v>137.7</c:v>
                </c:pt>
                <c:pt idx="274">
                  <c:v>137.1</c:v>
                </c:pt>
                <c:pt idx="275">
                  <c:v>136.85</c:v>
                </c:pt>
                <c:pt idx="276">
                  <c:v>136.65</c:v>
                </c:pt>
                <c:pt idx="277">
                  <c:v>136.95</c:v>
                </c:pt>
                <c:pt idx="278">
                  <c:v>137.2</c:v>
                </c:pt>
                <c:pt idx="279">
                  <c:v>136.9</c:v>
                </c:pt>
                <c:pt idx="280">
                  <c:v>136.75</c:v>
                </c:pt>
                <c:pt idx="281">
                  <c:v>138.5</c:v>
                </c:pt>
                <c:pt idx="282">
                  <c:v>137.6</c:v>
                </c:pt>
                <c:pt idx="283">
                  <c:v>137.25</c:v>
                </c:pt>
                <c:pt idx="284">
                  <c:v>137</c:v>
                </c:pt>
                <c:pt idx="285">
                  <c:v>138.15</c:v>
                </c:pt>
                <c:pt idx="286">
                  <c:v>136.8</c:v>
                </c:pt>
                <c:pt idx="287">
                  <c:v>136.55</c:v>
                </c:pt>
                <c:pt idx="288">
                  <c:v>136.4</c:v>
                </c:pt>
                <c:pt idx="289">
                  <c:v>136.65</c:v>
                </c:pt>
                <c:pt idx="290">
                  <c:v>136.9</c:v>
                </c:pt>
                <c:pt idx="291">
                  <c:v>136.45</c:v>
                </c:pt>
                <c:pt idx="292">
                  <c:v>136.2</c:v>
                </c:pt>
                <c:pt idx="293">
                  <c:v>135.85</c:v>
                </c:pt>
                <c:pt idx="294">
                  <c:v>135.7</c:v>
                </c:pt>
                <c:pt idx="295">
                  <c:v>135.95</c:v>
                </c:pt>
                <c:pt idx="296">
                  <c:v>135.55</c:v>
                </c:pt>
                <c:pt idx="297">
                  <c:v>135.3</c:v>
                </c:pt>
                <c:pt idx="298">
                  <c:v>135.05</c:v>
                </c:pt>
                <c:pt idx="299">
                  <c:v>134.8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分析!$A$3</c:f>
              <c:strCache>
                <c:ptCount val="1"/>
                <c:pt idx="0">
                  <c:v>全球平均气温异常值 (相对于工业革命)乘以100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分析!$B$1:$KO$1</c:f>
              <c:strCache>
                <c:ptCount val="300"/>
                <c:pt idx="0">
                  <c:v>2001/1/1</c:v>
                </c:pt>
                <c:pt idx="1">
                  <c:v>2001/2/1</c:v>
                </c:pt>
                <c:pt idx="2">
                  <c:v>2001/3/1</c:v>
                </c:pt>
                <c:pt idx="3">
                  <c:v>2001/4/1</c:v>
                </c:pt>
                <c:pt idx="4">
                  <c:v>2001/5/1</c:v>
                </c:pt>
                <c:pt idx="5">
                  <c:v>2001/6/1</c:v>
                </c:pt>
                <c:pt idx="6">
                  <c:v>2001/7/1</c:v>
                </c:pt>
                <c:pt idx="7">
                  <c:v>2001/8/1</c:v>
                </c:pt>
                <c:pt idx="8">
                  <c:v>2001/9/1</c:v>
                </c:pt>
                <c:pt idx="9">
                  <c:v>2001/10/1</c:v>
                </c:pt>
                <c:pt idx="10">
                  <c:v>2001/11/1</c:v>
                </c:pt>
                <c:pt idx="11">
                  <c:v>2001/12/1</c:v>
                </c:pt>
                <c:pt idx="12">
                  <c:v>2002/1/1</c:v>
                </c:pt>
                <c:pt idx="13">
                  <c:v>2002/2/1</c:v>
                </c:pt>
                <c:pt idx="14">
                  <c:v>2002/3/1</c:v>
                </c:pt>
                <c:pt idx="15">
                  <c:v>2002/4/1</c:v>
                </c:pt>
                <c:pt idx="16">
                  <c:v>2002/5/1</c:v>
                </c:pt>
                <c:pt idx="17">
                  <c:v>2002/6/1</c:v>
                </c:pt>
                <c:pt idx="18">
                  <c:v>2002/7/1</c:v>
                </c:pt>
                <c:pt idx="19">
                  <c:v>2002/8/1</c:v>
                </c:pt>
                <c:pt idx="20">
                  <c:v>2002/9/1</c:v>
                </c:pt>
                <c:pt idx="21">
                  <c:v>2002/10/1</c:v>
                </c:pt>
                <c:pt idx="22">
                  <c:v>2002/11/1</c:v>
                </c:pt>
                <c:pt idx="23">
                  <c:v>2002/12/1</c:v>
                </c:pt>
                <c:pt idx="24">
                  <c:v>2003/1/1</c:v>
                </c:pt>
                <c:pt idx="25">
                  <c:v>2003/2/1</c:v>
                </c:pt>
                <c:pt idx="26">
                  <c:v>2003/3/1</c:v>
                </c:pt>
                <c:pt idx="27">
                  <c:v>2003/4/1</c:v>
                </c:pt>
                <c:pt idx="28">
                  <c:v>2003/5/1</c:v>
                </c:pt>
                <c:pt idx="29">
                  <c:v>2003/6/1</c:v>
                </c:pt>
                <c:pt idx="30">
                  <c:v>2003/7/1</c:v>
                </c:pt>
                <c:pt idx="31">
                  <c:v>2003/8/1</c:v>
                </c:pt>
                <c:pt idx="32">
                  <c:v>2003/9/1</c:v>
                </c:pt>
                <c:pt idx="33">
                  <c:v>2003/10/1</c:v>
                </c:pt>
                <c:pt idx="34">
                  <c:v>2003/11/1</c:v>
                </c:pt>
                <c:pt idx="35">
                  <c:v>2003/12/1</c:v>
                </c:pt>
                <c:pt idx="36">
                  <c:v>2004/1/1</c:v>
                </c:pt>
                <c:pt idx="37">
                  <c:v>2004/2/1</c:v>
                </c:pt>
                <c:pt idx="38">
                  <c:v>2004/3/1</c:v>
                </c:pt>
                <c:pt idx="39">
                  <c:v>2004/4/1</c:v>
                </c:pt>
                <c:pt idx="40">
                  <c:v>2004/5/1</c:v>
                </c:pt>
                <c:pt idx="41">
                  <c:v>2004/6/1</c:v>
                </c:pt>
                <c:pt idx="42">
                  <c:v>2004/7/1</c:v>
                </c:pt>
                <c:pt idx="43">
                  <c:v>2004/8/1</c:v>
                </c:pt>
                <c:pt idx="44">
                  <c:v>2004/9/1</c:v>
                </c:pt>
                <c:pt idx="45">
                  <c:v>2004/10/1</c:v>
                </c:pt>
                <c:pt idx="46">
                  <c:v>2004/11/1</c:v>
                </c:pt>
                <c:pt idx="47">
                  <c:v>2004/12/1</c:v>
                </c:pt>
                <c:pt idx="48">
                  <c:v>2005/1/1</c:v>
                </c:pt>
                <c:pt idx="49">
                  <c:v>2005/2/1</c:v>
                </c:pt>
                <c:pt idx="50">
                  <c:v>2005/3/1</c:v>
                </c:pt>
                <c:pt idx="51">
                  <c:v>2005/4/1</c:v>
                </c:pt>
                <c:pt idx="52">
                  <c:v>2005/5/1</c:v>
                </c:pt>
                <c:pt idx="53">
                  <c:v>2005/6/1</c:v>
                </c:pt>
                <c:pt idx="54">
                  <c:v>2005/7/1</c:v>
                </c:pt>
                <c:pt idx="55">
                  <c:v>2005/8/1</c:v>
                </c:pt>
                <c:pt idx="56">
                  <c:v>2005/9/1</c:v>
                </c:pt>
                <c:pt idx="57">
                  <c:v>2005/10/1</c:v>
                </c:pt>
                <c:pt idx="58">
                  <c:v>2005/11/1</c:v>
                </c:pt>
                <c:pt idx="59">
                  <c:v>2005/12/1</c:v>
                </c:pt>
                <c:pt idx="60">
                  <c:v>2006/1/1</c:v>
                </c:pt>
                <c:pt idx="61">
                  <c:v>2006/2/1</c:v>
                </c:pt>
                <c:pt idx="62">
                  <c:v>2006/3/1</c:v>
                </c:pt>
                <c:pt idx="63">
                  <c:v>2006/4/1</c:v>
                </c:pt>
                <c:pt idx="64">
                  <c:v>2006/5/1</c:v>
                </c:pt>
                <c:pt idx="65">
                  <c:v>2006/6/1</c:v>
                </c:pt>
                <c:pt idx="66">
                  <c:v>2006/7/1</c:v>
                </c:pt>
                <c:pt idx="67">
                  <c:v>2006/8/1</c:v>
                </c:pt>
                <c:pt idx="68">
                  <c:v>2006/9/1</c:v>
                </c:pt>
                <c:pt idx="69">
                  <c:v>2006/10/1</c:v>
                </c:pt>
                <c:pt idx="70">
                  <c:v>2006/11/1</c:v>
                </c:pt>
                <c:pt idx="71">
                  <c:v>2006/12/1</c:v>
                </c:pt>
                <c:pt idx="72">
                  <c:v>2007/1/1</c:v>
                </c:pt>
                <c:pt idx="73">
                  <c:v>2007/2/1</c:v>
                </c:pt>
                <c:pt idx="74">
                  <c:v>2007/3/1</c:v>
                </c:pt>
                <c:pt idx="75">
                  <c:v>2007/4/1</c:v>
                </c:pt>
                <c:pt idx="76">
                  <c:v>2007/5/1</c:v>
                </c:pt>
                <c:pt idx="77">
                  <c:v>2007/6/1</c:v>
                </c:pt>
                <c:pt idx="78">
                  <c:v>2007/7/1</c:v>
                </c:pt>
                <c:pt idx="79">
                  <c:v>2007/8/1</c:v>
                </c:pt>
                <c:pt idx="80">
                  <c:v>2007/9/1</c:v>
                </c:pt>
                <c:pt idx="81">
                  <c:v>2007/10/1</c:v>
                </c:pt>
                <c:pt idx="82">
                  <c:v>2007/11/1</c:v>
                </c:pt>
                <c:pt idx="83">
                  <c:v>2007/12/1</c:v>
                </c:pt>
                <c:pt idx="84">
                  <c:v>2008/1/1</c:v>
                </c:pt>
                <c:pt idx="85">
                  <c:v>2008/2/1</c:v>
                </c:pt>
                <c:pt idx="86">
                  <c:v>2008/3/1</c:v>
                </c:pt>
                <c:pt idx="87">
                  <c:v>2008/4/1</c:v>
                </c:pt>
                <c:pt idx="88">
                  <c:v>2008/5/1</c:v>
                </c:pt>
                <c:pt idx="89">
                  <c:v>2008/6/1</c:v>
                </c:pt>
                <c:pt idx="90">
                  <c:v>2008/7/1</c:v>
                </c:pt>
                <c:pt idx="91">
                  <c:v>2008/8/1</c:v>
                </c:pt>
                <c:pt idx="92">
                  <c:v>2008/9/1</c:v>
                </c:pt>
                <c:pt idx="93">
                  <c:v>2008/10/1</c:v>
                </c:pt>
                <c:pt idx="94">
                  <c:v>2008/11/1</c:v>
                </c:pt>
                <c:pt idx="95">
                  <c:v>2008/12/1</c:v>
                </c:pt>
                <c:pt idx="96">
                  <c:v>2009/1/1</c:v>
                </c:pt>
                <c:pt idx="97">
                  <c:v>2009/2/1</c:v>
                </c:pt>
                <c:pt idx="98">
                  <c:v>2009/3/1</c:v>
                </c:pt>
                <c:pt idx="99">
                  <c:v>2009/4/1</c:v>
                </c:pt>
                <c:pt idx="100">
                  <c:v>2009/5/1</c:v>
                </c:pt>
                <c:pt idx="101">
                  <c:v>2009/6/1</c:v>
                </c:pt>
                <c:pt idx="102">
                  <c:v>2009/7/1</c:v>
                </c:pt>
                <c:pt idx="103">
                  <c:v>2009/8/1</c:v>
                </c:pt>
                <c:pt idx="104">
                  <c:v>2009/9/1</c:v>
                </c:pt>
                <c:pt idx="105">
                  <c:v>2009/10/1</c:v>
                </c:pt>
                <c:pt idx="106">
                  <c:v>2009/11/1</c:v>
                </c:pt>
                <c:pt idx="107">
                  <c:v>2009/12/1</c:v>
                </c:pt>
                <c:pt idx="108">
                  <c:v>2010/1/1</c:v>
                </c:pt>
                <c:pt idx="109">
                  <c:v>2010/2/1</c:v>
                </c:pt>
                <c:pt idx="110">
                  <c:v>2010/3/1</c:v>
                </c:pt>
                <c:pt idx="111">
                  <c:v>2010/4/1</c:v>
                </c:pt>
                <c:pt idx="112">
                  <c:v>2010/5/1</c:v>
                </c:pt>
                <c:pt idx="113">
                  <c:v>2010/6/1</c:v>
                </c:pt>
                <c:pt idx="114">
                  <c:v>2010/7/1</c:v>
                </c:pt>
                <c:pt idx="115">
                  <c:v>2010/8/1</c:v>
                </c:pt>
                <c:pt idx="116">
                  <c:v>2010/9/1</c:v>
                </c:pt>
                <c:pt idx="117">
                  <c:v>2010/10/1</c:v>
                </c:pt>
                <c:pt idx="118">
                  <c:v>2010/11/1</c:v>
                </c:pt>
                <c:pt idx="119">
                  <c:v>2010/12/1</c:v>
                </c:pt>
                <c:pt idx="120">
                  <c:v>2011/1/1</c:v>
                </c:pt>
                <c:pt idx="121">
                  <c:v>2011/2/1</c:v>
                </c:pt>
                <c:pt idx="122">
                  <c:v>2011/3/1</c:v>
                </c:pt>
                <c:pt idx="123">
                  <c:v>2011/4/1</c:v>
                </c:pt>
                <c:pt idx="124">
                  <c:v>2011/5/1</c:v>
                </c:pt>
                <c:pt idx="125">
                  <c:v>2011/6/1</c:v>
                </c:pt>
                <c:pt idx="126">
                  <c:v>2011/7/1</c:v>
                </c:pt>
                <c:pt idx="127">
                  <c:v>2011/8/1</c:v>
                </c:pt>
                <c:pt idx="128">
                  <c:v>2011/9/1</c:v>
                </c:pt>
                <c:pt idx="129">
                  <c:v>2011/10/1</c:v>
                </c:pt>
                <c:pt idx="130">
                  <c:v>2011/11/1</c:v>
                </c:pt>
                <c:pt idx="131">
                  <c:v>2011/12/1</c:v>
                </c:pt>
                <c:pt idx="132">
                  <c:v>2012/1/1</c:v>
                </c:pt>
                <c:pt idx="133">
                  <c:v>2012/2/1</c:v>
                </c:pt>
                <c:pt idx="134">
                  <c:v>2012/3/1</c:v>
                </c:pt>
                <c:pt idx="135">
                  <c:v>2012/4/1</c:v>
                </c:pt>
                <c:pt idx="136">
                  <c:v>2012/5/1</c:v>
                </c:pt>
                <c:pt idx="137">
                  <c:v>2012/6/1</c:v>
                </c:pt>
                <c:pt idx="138">
                  <c:v>2012/7/1</c:v>
                </c:pt>
                <c:pt idx="139">
                  <c:v>2012/8/1</c:v>
                </c:pt>
                <c:pt idx="140">
                  <c:v>2012/9/1</c:v>
                </c:pt>
                <c:pt idx="141">
                  <c:v>2012/10/1</c:v>
                </c:pt>
                <c:pt idx="142">
                  <c:v>2012/11/1</c:v>
                </c:pt>
                <c:pt idx="143">
                  <c:v>2012/12/1</c:v>
                </c:pt>
                <c:pt idx="144">
                  <c:v>2013/1/1</c:v>
                </c:pt>
                <c:pt idx="145">
                  <c:v>2013/2/1</c:v>
                </c:pt>
                <c:pt idx="146">
                  <c:v>2013/3/1</c:v>
                </c:pt>
                <c:pt idx="147">
                  <c:v>2013/4/1</c:v>
                </c:pt>
                <c:pt idx="148">
                  <c:v>2013/5/1</c:v>
                </c:pt>
                <c:pt idx="149">
                  <c:v>2013/6/1</c:v>
                </c:pt>
                <c:pt idx="150">
                  <c:v>2013/7/1</c:v>
                </c:pt>
                <c:pt idx="151">
                  <c:v>2013/8/1</c:v>
                </c:pt>
                <c:pt idx="152">
                  <c:v>2013/9/1</c:v>
                </c:pt>
                <c:pt idx="153">
                  <c:v>2013/10/1</c:v>
                </c:pt>
                <c:pt idx="154">
                  <c:v>2013/11/1</c:v>
                </c:pt>
                <c:pt idx="155">
                  <c:v>2013/12/1</c:v>
                </c:pt>
                <c:pt idx="156">
                  <c:v>2014/1/1</c:v>
                </c:pt>
                <c:pt idx="157">
                  <c:v>2014/2/1</c:v>
                </c:pt>
                <c:pt idx="158">
                  <c:v>2014/3/1</c:v>
                </c:pt>
                <c:pt idx="159">
                  <c:v>2014/4/1</c:v>
                </c:pt>
                <c:pt idx="160">
                  <c:v>2014/5/1</c:v>
                </c:pt>
                <c:pt idx="161">
                  <c:v>2014/6/1</c:v>
                </c:pt>
                <c:pt idx="162">
                  <c:v>2014/7/1</c:v>
                </c:pt>
                <c:pt idx="163">
                  <c:v>2014/8/1</c:v>
                </c:pt>
                <c:pt idx="164">
                  <c:v>2014/9/1</c:v>
                </c:pt>
                <c:pt idx="165">
                  <c:v>2014/10/1</c:v>
                </c:pt>
                <c:pt idx="166">
                  <c:v>2014/11/1</c:v>
                </c:pt>
                <c:pt idx="167">
                  <c:v>2014/12/1</c:v>
                </c:pt>
                <c:pt idx="168">
                  <c:v>2015/1/1</c:v>
                </c:pt>
                <c:pt idx="169">
                  <c:v>2015/2/1</c:v>
                </c:pt>
                <c:pt idx="170">
                  <c:v>2015/3/1</c:v>
                </c:pt>
                <c:pt idx="171">
                  <c:v>2015/4/1</c:v>
                </c:pt>
                <c:pt idx="172">
                  <c:v>2015/5/1</c:v>
                </c:pt>
                <c:pt idx="173">
                  <c:v>2015/6/1</c:v>
                </c:pt>
                <c:pt idx="174">
                  <c:v>2015/7/1</c:v>
                </c:pt>
                <c:pt idx="175">
                  <c:v>2015/8/1</c:v>
                </c:pt>
                <c:pt idx="176">
                  <c:v>2015/9/1</c:v>
                </c:pt>
                <c:pt idx="177">
                  <c:v>2015/10/1</c:v>
                </c:pt>
                <c:pt idx="178">
                  <c:v>2015/11/1</c:v>
                </c:pt>
                <c:pt idx="179">
                  <c:v>2015/12/1</c:v>
                </c:pt>
                <c:pt idx="180">
                  <c:v>2016/1/1</c:v>
                </c:pt>
                <c:pt idx="181">
                  <c:v>2016/2/1</c:v>
                </c:pt>
                <c:pt idx="182">
                  <c:v>2016/3/1</c:v>
                </c:pt>
                <c:pt idx="183">
                  <c:v>2016/4/1</c:v>
                </c:pt>
                <c:pt idx="184">
                  <c:v>2016/5/1</c:v>
                </c:pt>
                <c:pt idx="185">
                  <c:v>2016/6/1</c:v>
                </c:pt>
                <c:pt idx="186">
                  <c:v>2016/7/1</c:v>
                </c:pt>
                <c:pt idx="187">
                  <c:v>2016/8/1</c:v>
                </c:pt>
                <c:pt idx="188">
                  <c:v>2016/9/1</c:v>
                </c:pt>
                <c:pt idx="189">
                  <c:v>2016/10/1</c:v>
                </c:pt>
                <c:pt idx="190">
                  <c:v>2016/11/1</c:v>
                </c:pt>
                <c:pt idx="191">
                  <c:v>2016/12/1</c:v>
                </c:pt>
                <c:pt idx="192">
                  <c:v>2017/1/1</c:v>
                </c:pt>
                <c:pt idx="193">
                  <c:v>2017/2/1</c:v>
                </c:pt>
                <c:pt idx="194">
                  <c:v>2017/3/1</c:v>
                </c:pt>
                <c:pt idx="195">
                  <c:v>2017/4/1</c:v>
                </c:pt>
                <c:pt idx="196">
                  <c:v>2017/5/1</c:v>
                </c:pt>
                <c:pt idx="197">
                  <c:v>2017/6/1</c:v>
                </c:pt>
                <c:pt idx="198">
                  <c:v>2017/7/1</c:v>
                </c:pt>
                <c:pt idx="199">
                  <c:v>2017/8/1</c:v>
                </c:pt>
                <c:pt idx="200">
                  <c:v>2017/9/1</c:v>
                </c:pt>
                <c:pt idx="201">
                  <c:v>2017/10/1</c:v>
                </c:pt>
                <c:pt idx="202">
                  <c:v>2017/11/1</c:v>
                </c:pt>
                <c:pt idx="203">
                  <c:v>2017/12/1</c:v>
                </c:pt>
                <c:pt idx="204">
                  <c:v>2018/1/1</c:v>
                </c:pt>
                <c:pt idx="205">
                  <c:v>2018/2/1</c:v>
                </c:pt>
                <c:pt idx="206">
                  <c:v>2018/3/1</c:v>
                </c:pt>
                <c:pt idx="207">
                  <c:v>2018/4/1</c:v>
                </c:pt>
                <c:pt idx="208">
                  <c:v>2018/5/1</c:v>
                </c:pt>
                <c:pt idx="209">
                  <c:v>2018/6/1</c:v>
                </c:pt>
                <c:pt idx="210">
                  <c:v>2018/7/1</c:v>
                </c:pt>
                <c:pt idx="211">
                  <c:v>2018/8/1</c:v>
                </c:pt>
                <c:pt idx="212">
                  <c:v>2018/9/1</c:v>
                </c:pt>
                <c:pt idx="213">
                  <c:v>2018/10/1</c:v>
                </c:pt>
                <c:pt idx="214">
                  <c:v>2018/11/1</c:v>
                </c:pt>
                <c:pt idx="215">
                  <c:v>2018/12/1</c:v>
                </c:pt>
                <c:pt idx="216">
                  <c:v>2019/1/1</c:v>
                </c:pt>
                <c:pt idx="217">
                  <c:v>2019/2/1</c:v>
                </c:pt>
                <c:pt idx="218">
                  <c:v>2019/3/1</c:v>
                </c:pt>
                <c:pt idx="219">
                  <c:v>2019/4/1</c:v>
                </c:pt>
                <c:pt idx="220">
                  <c:v>2019/5/1</c:v>
                </c:pt>
                <c:pt idx="221">
                  <c:v>2019/6/1</c:v>
                </c:pt>
                <c:pt idx="222">
                  <c:v>2019/7/1</c:v>
                </c:pt>
                <c:pt idx="223">
                  <c:v>2019/8/1</c:v>
                </c:pt>
                <c:pt idx="224">
                  <c:v>2019/9/1</c:v>
                </c:pt>
                <c:pt idx="225">
                  <c:v>2019/10/1</c:v>
                </c:pt>
                <c:pt idx="226">
                  <c:v>2019/11/1</c:v>
                </c:pt>
                <c:pt idx="227">
                  <c:v>2019/12/1</c:v>
                </c:pt>
                <c:pt idx="228">
                  <c:v>2020/1/1</c:v>
                </c:pt>
                <c:pt idx="229">
                  <c:v>2020/2/1</c:v>
                </c:pt>
                <c:pt idx="230">
                  <c:v>2020/3/1</c:v>
                </c:pt>
                <c:pt idx="231">
                  <c:v>2020/4/1</c:v>
                </c:pt>
                <c:pt idx="232">
                  <c:v>2020/5/1</c:v>
                </c:pt>
                <c:pt idx="233">
                  <c:v>2020/6/1</c:v>
                </c:pt>
                <c:pt idx="234">
                  <c:v>2020/7/1</c:v>
                </c:pt>
                <c:pt idx="235">
                  <c:v>2020/8/1</c:v>
                </c:pt>
                <c:pt idx="236">
                  <c:v>2020/9/1</c:v>
                </c:pt>
                <c:pt idx="237">
                  <c:v>2020/10/1</c:v>
                </c:pt>
                <c:pt idx="238">
                  <c:v>2020/11/1</c:v>
                </c:pt>
                <c:pt idx="239">
                  <c:v>2020/12/1</c:v>
                </c:pt>
                <c:pt idx="240">
                  <c:v>2021/1/1</c:v>
                </c:pt>
                <c:pt idx="241">
                  <c:v>2021/2/1</c:v>
                </c:pt>
                <c:pt idx="242">
                  <c:v>2021/3/1</c:v>
                </c:pt>
                <c:pt idx="243">
                  <c:v>2021/4/1</c:v>
                </c:pt>
                <c:pt idx="244">
                  <c:v>2021/5/1</c:v>
                </c:pt>
                <c:pt idx="245">
                  <c:v>2021/6/1</c:v>
                </c:pt>
                <c:pt idx="246">
                  <c:v>2021/7/1</c:v>
                </c:pt>
                <c:pt idx="247">
                  <c:v>2021/8/1</c:v>
                </c:pt>
                <c:pt idx="248">
                  <c:v>2021/9/1</c:v>
                </c:pt>
                <c:pt idx="249">
                  <c:v>2021/10/1</c:v>
                </c:pt>
                <c:pt idx="250">
                  <c:v>2021/11/1</c:v>
                </c:pt>
                <c:pt idx="251">
                  <c:v>2021/12/1</c:v>
                </c:pt>
                <c:pt idx="252">
                  <c:v>2022/1/1</c:v>
                </c:pt>
                <c:pt idx="253">
                  <c:v>2022/2/1</c:v>
                </c:pt>
                <c:pt idx="254">
                  <c:v>2022/3/1</c:v>
                </c:pt>
                <c:pt idx="255">
                  <c:v>2022/4/1</c:v>
                </c:pt>
                <c:pt idx="256">
                  <c:v>2022/5/1</c:v>
                </c:pt>
                <c:pt idx="257">
                  <c:v>2022/6/1</c:v>
                </c:pt>
                <c:pt idx="258">
                  <c:v>2022/7/1</c:v>
                </c:pt>
                <c:pt idx="259">
                  <c:v>2022/8/1</c:v>
                </c:pt>
                <c:pt idx="260">
                  <c:v>2022/9/1</c:v>
                </c:pt>
                <c:pt idx="261">
                  <c:v>2022/10/1</c:v>
                </c:pt>
                <c:pt idx="262">
                  <c:v>2022/11/1</c:v>
                </c:pt>
                <c:pt idx="263">
                  <c:v>2022/12/1</c:v>
                </c:pt>
                <c:pt idx="264">
                  <c:v>2023/1/1</c:v>
                </c:pt>
                <c:pt idx="265">
                  <c:v>2023/2/1</c:v>
                </c:pt>
                <c:pt idx="266">
                  <c:v>2023/3/1</c:v>
                </c:pt>
                <c:pt idx="267">
                  <c:v>2023/4/1</c:v>
                </c:pt>
                <c:pt idx="268">
                  <c:v>2023/5/1</c:v>
                </c:pt>
                <c:pt idx="269">
                  <c:v>2023/6/1</c:v>
                </c:pt>
                <c:pt idx="270">
                  <c:v>2023/7/1</c:v>
                </c:pt>
                <c:pt idx="271">
                  <c:v>2023/8/1</c:v>
                </c:pt>
                <c:pt idx="272">
                  <c:v>2023/9/1</c:v>
                </c:pt>
                <c:pt idx="273">
                  <c:v>2023/10/1</c:v>
                </c:pt>
                <c:pt idx="274">
                  <c:v>2023/11/1</c:v>
                </c:pt>
                <c:pt idx="275">
                  <c:v>2023/12/1</c:v>
                </c:pt>
                <c:pt idx="276">
                  <c:v>2024/1/1</c:v>
                </c:pt>
                <c:pt idx="277">
                  <c:v>2024/2/1</c:v>
                </c:pt>
                <c:pt idx="278">
                  <c:v>2024/3/1</c:v>
                </c:pt>
                <c:pt idx="279">
                  <c:v>2024/4/1</c:v>
                </c:pt>
                <c:pt idx="280">
                  <c:v>2024/5/1</c:v>
                </c:pt>
                <c:pt idx="281">
                  <c:v>2024/6/1</c:v>
                </c:pt>
                <c:pt idx="282">
                  <c:v>2024/7/1</c:v>
                </c:pt>
                <c:pt idx="283">
                  <c:v>2024/8/1</c:v>
                </c:pt>
                <c:pt idx="284">
                  <c:v>2024/9/1</c:v>
                </c:pt>
                <c:pt idx="285">
                  <c:v>2024/10/1</c:v>
                </c:pt>
                <c:pt idx="286">
                  <c:v>2024/11/1</c:v>
                </c:pt>
                <c:pt idx="287">
                  <c:v>2024/12/1</c:v>
                </c:pt>
                <c:pt idx="288">
                  <c:v>2025/1/1</c:v>
                </c:pt>
                <c:pt idx="289">
                  <c:v>2025/2/1</c:v>
                </c:pt>
                <c:pt idx="290">
                  <c:v>2025/3/1</c:v>
                </c:pt>
                <c:pt idx="291">
                  <c:v>2025/4/1</c:v>
                </c:pt>
                <c:pt idx="292">
                  <c:v>2025/5/1</c:v>
                </c:pt>
                <c:pt idx="293">
                  <c:v>2025/6/1</c:v>
                </c:pt>
                <c:pt idx="294">
                  <c:v>2025/7/1</c:v>
                </c:pt>
                <c:pt idx="295">
                  <c:v>2025/8/1</c:v>
                </c:pt>
                <c:pt idx="296">
                  <c:v>2025/9/1</c:v>
                </c:pt>
                <c:pt idx="297">
                  <c:v>2025/10/1</c:v>
                </c:pt>
                <c:pt idx="298">
                  <c:v>2025/11/1</c:v>
                </c:pt>
                <c:pt idx="299">
                  <c:v>2025/12/1</c:v>
                </c:pt>
              </c:strCache>
            </c:strRef>
          </c:cat>
          <c:val>
            <c:numRef>
              <c:f>分析!$B$3:$KO$3</c:f>
              <c:numCache>
                <c:formatCode>General</c:formatCode>
                <c:ptCount val="300"/>
                <c:pt idx="0">
                  <c:v>78</c:v>
                </c:pt>
                <c:pt idx="1">
                  <c:v>81</c:v>
                </c:pt>
                <c:pt idx="2">
                  <c:v>85</c:v>
                </c:pt>
                <c:pt idx="3">
                  <c:v>89</c:v>
                </c:pt>
                <c:pt idx="4">
                  <c:v>92</c:v>
                </c:pt>
                <c:pt idx="5">
                  <c:v>88</c:v>
                </c:pt>
                <c:pt idx="6">
                  <c:v>84</c:v>
                </c:pt>
                <c:pt idx="7">
                  <c:v>86</c:v>
                </c:pt>
                <c:pt idx="8">
                  <c:v>82</c:v>
                </c:pt>
                <c:pt idx="9">
                  <c:v>79</c:v>
                </c:pt>
                <c:pt idx="10">
                  <c:v>83</c:v>
                </c:pt>
                <c:pt idx="11">
                  <c:v>87</c:v>
                </c:pt>
                <c:pt idx="12">
                  <c:v>91</c:v>
                </c:pt>
                <c:pt idx="13">
                  <c:v>94</c:v>
                </c:pt>
                <c:pt idx="14">
                  <c:v>97</c:v>
                </c:pt>
                <c:pt idx="15">
                  <c:v>92</c:v>
                </c:pt>
                <c:pt idx="16">
                  <c:v>98</c:v>
                </c:pt>
                <c:pt idx="17">
                  <c:v>95</c:v>
                </c:pt>
                <c:pt idx="18">
                  <c:v>91</c:v>
                </c:pt>
                <c:pt idx="19">
                  <c:v>89</c:v>
                </c:pt>
                <c:pt idx="20">
                  <c:v>90</c:v>
                </c:pt>
                <c:pt idx="21">
                  <c:v>87</c:v>
                </c:pt>
                <c:pt idx="22">
                  <c:v>93</c:v>
                </c:pt>
                <c:pt idx="23">
                  <c:v>96</c:v>
                </c:pt>
                <c:pt idx="24">
                  <c:v>98</c:v>
                </c:pt>
                <c:pt idx="25">
                  <c:v>103</c:v>
                </c:pt>
                <c:pt idx="26">
                  <c:v>101</c:v>
                </c:pt>
                <c:pt idx="27">
                  <c:v>97</c:v>
                </c:pt>
                <c:pt idx="28">
                  <c:v>96</c:v>
                </c:pt>
                <c:pt idx="29">
                  <c:v>93</c:v>
                </c:pt>
                <c:pt idx="30">
                  <c:v>95</c:v>
                </c:pt>
                <c:pt idx="31">
                  <c:v>101</c:v>
                </c:pt>
                <c:pt idx="32">
                  <c:v>98</c:v>
                </c:pt>
                <c:pt idx="33">
                  <c:v>107</c:v>
                </c:pt>
                <c:pt idx="34">
                  <c:v>112</c:v>
                </c:pt>
                <c:pt idx="35">
                  <c:v>104</c:v>
                </c:pt>
                <c:pt idx="36">
                  <c:v>92</c:v>
                </c:pt>
                <c:pt idx="37">
                  <c:v>95</c:v>
                </c:pt>
                <c:pt idx="38">
                  <c:v>102</c:v>
                </c:pt>
                <c:pt idx="39">
                  <c:v>98</c:v>
                </c:pt>
                <c:pt idx="40">
                  <c:v>89</c:v>
                </c:pt>
                <c:pt idx="41">
                  <c:v>85</c:v>
                </c:pt>
                <c:pt idx="42">
                  <c:v>82</c:v>
                </c:pt>
                <c:pt idx="43">
                  <c:v>86</c:v>
                </c:pt>
                <c:pt idx="44">
                  <c:v>88</c:v>
                </c:pt>
                <c:pt idx="45">
                  <c:v>93</c:v>
                </c:pt>
                <c:pt idx="46">
                  <c:v>99</c:v>
                </c:pt>
                <c:pt idx="47">
                  <c:v>91</c:v>
                </c:pt>
                <c:pt idx="48">
                  <c:v>98</c:v>
                </c:pt>
                <c:pt idx="49">
                  <c:v>102</c:v>
                </c:pt>
                <c:pt idx="50">
                  <c:v>106</c:v>
                </c:pt>
                <c:pt idx="51">
                  <c:v>109</c:v>
                </c:pt>
                <c:pt idx="52">
                  <c:v>101</c:v>
                </c:pt>
                <c:pt idx="53">
                  <c:v>94</c:v>
                </c:pt>
                <c:pt idx="54">
                  <c:v>90</c:v>
                </c:pt>
                <c:pt idx="55">
                  <c:v>92</c:v>
                </c:pt>
                <c:pt idx="56">
                  <c:v>103</c:v>
                </c:pt>
                <c:pt idx="57">
                  <c:v>105</c:v>
                </c:pt>
                <c:pt idx="58">
                  <c:v>108</c:v>
                </c:pt>
                <c:pt idx="59">
                  <c:v>111</c:v>
                </c:pt>
                <c:pt idx="60">
                  <c:v>96</c:v>
                </c:pt>
                <c:pt idx="61">
                  <c:v>104</c:v>
                </c:pt>
                <c:pt idx="62">
                  <c:v>101</c:v>
                </c:pt>
                <c:pt idx="63">
                  <c:v>97</c:v>
                </c:pt>
                <c:pt idx="64">
                  <c:v>89</c:v>
                </c:pt>
                <c:pt idx="65">
                  <c:v>85</c:v>
                </c:pt>
                <c:pt idx="66">
                  <c:v>81</c:v>
                </c:pt>
                <c:pt idx="67">
                  <c:v>84</c:v>
                </c:pt>
                <c:pt idx="68">
                  <c:v>88</c:v>
                </c:pt>
                <c:pt idx="69">
                  <c:v>92</c:v>
                </c:pt>
                <c:pt idx="70">
                  <c:v>95</c:v>
                </c:pt>
                <c:pt idx="71">
                  <c:v>114</c:v>
                </c:pt>
                <c:pt idx="72">
                  <c:v>118</c:v>
                </c:pt>
                <c:pt idx="73">
                  <c:v>102</c:v>
                </c:pt>
                <c:pt idx="74">
                  <c:v>95</c:v>
                </c:pt>
                <c:pt idx="75">
                  <c:v>91</c:v>
                </c:pt>
                <c:pt idx="76">
                  <c:v>88</c:v>
                </c:pt>
                <c:pt idx="77">
                  <c:v>82</c:v>
                </c:pt>
                <c:pt idx="78">
                  <c:v>79</c:v>
                </c:pt>
                <c:pt idx="79">
                  <c:v>83</c:v>
                </c:pt>
                <c:pt idx="80">
                  <c:v>86</c:v>
                </c:pt>
                <c:pt idx="81">
                  <c:v>90</c:v>
                </c:pt>
                <c:pt idx="82">
                  <c:v>85</c:v>
                </c:pt>
                <c:pt idx="83">
                  <c:v>77</c:v>
                </c:pt>
                <c:pt idx="84">
                  <c:v>62</c:v>
                </c:pt>
                <c:pt idx="85">
                  <c:v>68</c:v>
                </c:pt>
                <c:pt idx="86">
                  <c:v>71</c:v>
                </c:pt>
                <c:pt idx="87">
                  <c:v>75</c:v>
                </c:pt>
                <c:pt idx="88">
                  <c:v>73</c:v>
                </c:pt>
                <c:pt idx="89">
                  <c:v>70</c:v>
                </c:pt>
                <c:pt idx="90">
                  <c:v>76</c:v>
                </c:pt>
                <c:pt idx="91">
                  <c:v>72</c:v>
                </c:pt>
                <c:pt idx="92">
                  <c:v>69</c:v>
                </c:pt>
                <c:pt idx="93">
                  <c:v>74</c:v>
                </c:pt>
                <c:pt idx="94">
                  <c:v>78</c:v>
                </c:pt>
                <c:pt idx="95">
                  <c:v>81</c:v>
                </c:pt>
                <c:pt idx="96">
                  <c:v>79</c:v>
                </c:pt>
                <c:pt idx="97">
                  <c:v>84</c:v>
                </c:pt>
                <c:pt idx="98">
                  <c:v>88</c:v>
                </c:pt>
                <c:pt idx="99">
                  <c:v>92</c:v>
                </c:pt>
                <c:pt idx="100">
                  <c:v>86</c:v>
                </c:pt>
                <c:pt idx="101">
                  <c:v>83</c:v>
                </c:pt>
                <c:pt idx="102">
                  <c:v>87</c:v>
                </c:pt>
                <c:pt idx="103">
                  <c:v>91</c:v>
                </c:pt>
                <c:pt idx="104">
                  <c:v>95</c:v>
                </c:pt>
                <c:pt idx="105">
                  <c:v>90</c:v>
                </c:pt>
                <c:pt idx="106">
                  <c:v>88</c:v>
                </c:pt>
                <c:pt idx="107">
                  <c:v>82</c:v>
                </c:pt>
                <c:pt idx="108">
                  <c:v>89</c:v>
                </c:pt>
                <c:pt idx="109">
                  <c:v>102</c:v>
                </c:pt>
                <c:pt idx="110">
                  <c:v>118</c:v>
                </c:pt>
                <c:pt idx="111">
                  <c:v>111</c:v>
                </c:pt>
                <c:pt idx="112">
                  <c:v>105</c:v>
                </c:pt>
                <c:pt idx="113">
                  <c:v>98</c:v>
                </c:pt>
                <c:pt idx="114">
                  <c:v>92</c:v>
                </c:pt>
                <c:pt idx="115">
                  <c:v>89</c:v>
                </c:pt>
                <c:pt idx="116">
                  <c:v>86</c:v>
                </c:pt>
                <c:pt idx="117">
                  <c:v>91</c:v>
                </c:pt>
                <c:pt idx="118">
                  <c:v>94</c:v>
                </c:pt>
                <c:pt idx="119">
                  <c:v>74</c:v>
                </c:pt>
                <c:pt idx="120">
                  <c:v>68</c:v>
                </c:pt>
                <c:pt idx="121">
                  <c:v>72</c:v>
                </c:pt>
                <c:pt idx="122">
                  <c:v>75</c:v>
                </c:pt>
                <c:pt idx="123">
                  <c:v>81</c:v>
                </c:pt>
                <c:pt idx="124">
                  <c:v>76</c:v>
                </c:pt>
                <c:pt idx="125">
                  <c:v>74</c:v>
                </c:pt>
                <c:pt idx="126">
                  <c:v>70</c:v>
                </c:pt>
                <c:pt idx="127">
                  <c:v>73</c:v>
                </c:pt>
                <c:pt idx="128">
                  <c:v>71</c:v>
                </c:pt>
                <c:pt idx="129">
                  <c:v>79</c:v>
                </c:pt>
                <c:pt idx="130">
                  <c:v>82</c:v>
                </c:pt>
                <c:pt idx="131">
                  <c:v>76</c:v>
                </c:pt>
                <c:pt idx="132">
                  <c:v>79</c:v>
                </c:pt>
                <c:pt idx="133">
                  <c:v>83</c:v>
                </c:pt>
                <c:pt idx="134">
                  <c:v>85</c:v>
                </c:pt>
                <c:pt idx="135">
                  <c:v>92</c:v>
                </c:pt>
                <c:pt idx="136">
                  <c:v>98</c:v>
                </c:pt>
                <c:pt idx="137">
                  <c:v>94</c:v>
                </c:pt>
                <c:pt idx="138">
                  <c:v>88</c:v>
                </c:pt>
                <c:pt idx="139">
                  <c:v>85</c:v>
                </c:pt>
                <c:pt idx="140">
                  <c:v>89</c:v>
                </c:pt>
                <c:pt idx="141">
                  <c:v>93</c:v>
                </c:pt>
                <c:pt idx="142">
                  <c:v>96</c:v>
                </c:pt>
                <c:pt idx="143">
                  <c:v>87</c:v>
                </c:pt>
                <c:pt idx="144">
                  <c:v>88</c:v>
                </c:pt>
                <c:pt idx="145">
                  <c:v>92</c:v>
                </c:pt>
                <c:pt idx="146">
                  <c:v>94</c:v>
                </c:pt>
                <c:pt idx="147">
                  <c:v>89</c:v>
                </c:pt>
                <c:pt idx="148">
                  <c:v>93</c:v>
                </c:pt>
                <c:pt idx="149">
                  <c:v>96</c:v>
                </c:pt>
                <c:pt idx="150">
                  <c:v>91</c:v>
                </c:pt>
                <c:pt idx="151">
                  <c:v>95</c:v>
                </c:pt>
                <c:pt idx="152">
                  <c:v>101</c:v>
                </c:pt>
                <c:pt idx="153">
                  <c:v>98</c:v>
                </c:pt>
                <c:pt idx="154">
                  <c:v>104</c:v>
                </c:pt>
                <c:pt idx="155">
                  <c:v>107</c:v>
                </c:pt>
                <c:pt idx="156">
                  <c:v>96</c:v>
                </c:pt>
                <c:pt idx="157">
                  <c:v>94</c:v>
                </c:pt>
                <c:pt idx="158">
                  <c:v>103</c:v>
                </c:pt>
                <c:pt idx="159">
                  <c:v>112</c:v>
                </c:pt>
                <c:pt idx="160">
                  <c:v>119</c:v>
                </c:pt>
                <c:pt idx="161">
                  <c:v>111</c:v>
                </c:pt>
                <c:pt idx="162">
                  <c:v>107</c:v>
                </c:pt>
                <c:pt idx="163">
                  <c:v>114</c:v>
                </c:pt>
                <c:pt idx="164">
                  <c:v>117</c:v>
                </c:pt>
                <c:pt idx="165">
                  <c:v>115</c:v>
                </c:pt>
                <c:pt idx="166">
                  <c:v>109</c:v>
                </c:pt>
                <c:pt idx="167">
                  <c:v>112</c:v>
                </c:pt>
                <c:pt idx="168">
                  <c:v>114</c:v>
                </c:pt>
                <c:pt idx="169">
                  <c:v>118</c:v>
                </c:pt>
                <c:pt idx="170">
                  <c:v>122</c:v>
                </c:pt>
                <c:pt idx="171">
                  <c:v>125</c:v>
                </c:pt>
                <c:pt idx="172">
                  <c:v>121</c:v>
                </c:pt>
                <c:pt idx="173">
                  <c:v>126</c:v>
                </c:pt>
                <c:pt idx="174">
                  <c:v>123</c:v>
                </c:pt>
                <c:pt idx="175">
                  <c:v>127</c:v>
                </c:pt>
                <c:pt idx="176">
                  <c:v>132</c:v>
                </c:pt>
                <c:pt idx="177">
                  <c:v>135</c:v>
                </c:pt>
                <c:pt idx="178">
                  <c:v>138</c:v>
                </c:pt>
                <c:pt idx="179">
                  <c:v>141</c:v>
                </c:pt>
                <c:pt idx="180">
                  <c:v>141</c:v>
                </c:pt>
                <c:pt idx="181">
                  <c:v>158</c:v>
                </c:pt>
                <c:pt idx="182">
                  <c:v>161</c:v>
                </c:pt>
                <c:pt idx="183">
                  <c:v>148</c:v>
                </c:pt>
                <c:pt idx="184">
                  <c:v>139</c:v>
                </c:pt>
                <c:pt idx="185">
                  <c:v>132</c:v>
                </c:pt>
                <c:pt idx="186">
                  <c:v>128</c:v>
                </c:pt>
                <c:pt idx="187">
                  <c:v>136</c:v>
                </c:pt>
                <c:pt idx="188">
                  <c:v>129</c:v>
                </c:pt>
                <c:pt idx="189">
                  <c:v>125</c:v>
                </c:pt>
                <c:pt idx="190">
                  <c:v>121</c:v>
                </c:pt>
                <c:pt idx="191">
                  <c:v>118</c:v>
                </c:pt>
                <c:pt idx="192">
                  <c:v>126</c:v>
                </c:pt>
                <c:pt idx="193">
                  <c:v>138</c:v>
                </c:pt>
                <c:pt idx="194">
                  <c:v>135</c:v>
                </c:pt>
                <c:pt idx="195">
                  <c:v>122</c:v>
                </c:pt>
                <c:pt idx="196">
                  <c:v>118</c:v>
                </c:pt>
                <c:pt idx="197">
                  <c:v>115</c:v>
                </c:pt>
                <c:pt idx="198">
                  <c:v>110</c:v>
                </c:pt>
                <c:pt idx="199">
                  <c:v>114</c:v>
                </c:pt>
                <c:pt idx="200">
                  <c:v>109</c:v>
                </c:pt>
                <c:pt idx="201">
                  <c:v>116</c:v>
                </c:pt>
                <c:pt idx="202">
                  <c:v>112</c:v>
                </c:pt>
                <c:pt idx="203">
                  <c:v>108</c:v>
                </c:pt>
                <c:pt idx="204">
                  <c:v>102</c:v>
                </c:pt>
                <c:pt idx="205">
                  <c:v>105</c:v>
                </c:pt>
                <c:pt idx="206">
                  <c:v>111</c:v>
                </c:pt>
                <c:pt idx="207">
                  <c:v>108</c:v>
                </c:pt>
                <c:pt idx="208">
                  <c:v>116</c:v>
                </c:pt>
                <c:pt idx="209">
                  <c:v>104</c:v>
                </c:pt>
                <c:pt idx="210">
                  <c:v>102</c:v>
                </c:pt>
                <c:pt idx="211">
                  <c:v>105</c:v>
                </c:pt>
                <c:pt idx="212">
                  <c:v>101</c:v>
                </c:pt>
                <c:pt idx="213">
                  <c:v>121</c:v>
                </c:pt>
                <c:pt idx="214">
                  <c:v>109</c:v>
                </c:pt>
                <c:pt idx="215">
                  <c:v>113</c:v>
                </c:pt>
                <c:pt idx="216">
                  <c:v>112</c:v>
                </c:pt>
                <c:pt idx="217">
                  <c:v>118</c:v>
                </c:pt>
                <c:pt idx="218">
                  <c:v>131</c:v>
                </c:pt>
                <c:pt idx="219">
                  <c:v>128</c:v>
                </c:pt>
                <c:pt idx="220">
                  <c:v>122</c:v>
                </c:pt>
                <c:pt idx="221">
                  <c:v>134</c:v>
                </c:pt>
                <c:pt idx="222">
                  <c:v>137</c:v>
                </c:pt>
                <c:pt idx="223">
                  <c:v>130</c:v>
                </c:pt>
                <c:pt idx="224">
                  <c:v>127</c:v>
                </c:pt>
                <c:pt idx="225">
                  <c:v>129</c:v>
                </c:pt>
                <c:pt idx="226">
                  <c:v>125</c:v>
                </c:pt>
                <c:pt idx="227">
                  <c:v>119</c:v>
                </c:pt>
                <c:pt idx="228">
                  <c:v>128</c:v>
                </c:pt>
                <c:pt idx="229">
                  <c:v>135</c:v>
                </c:pt>
                <c:pt idx="230">
                  <c:v>141</c:v>
                </c:pt>
                <c:pt idx="231">
                  <c:v>138</c:v>
                </c:pt>
                <c:pt idx="232">
                  <c:v>134</c:v>
                </c:pt>
                <c:pt idx="233">
                  <c:v>129</c:v>
                </c:pt>
                <c:pt idx="234">
                  <c:v>125</c:v>
                </c:pt>
                <c:pt idx="235">
                  <c:v>122</c:v>
                </c:pt>
                <c:pt idx="236">
                  <c:v>128</c:v>
                </c:pt>
                <c:pt idx="237">
                  <c:v>133</c:v>
                </c:pt>
                <c:pt idx="238">
                  <c:v>140</c:v>
                </c:pt>
                <c:pt idx="239">
                  <c:v>144</c:v>
                </c:pt>
                <c:pt idx="240">
                  <c:v>115</c:v>
                </c:pt>
                <c:pt idx="241">
                  <c:v>110</c:v>
                </c:pt>
                <c:pt idx="242">
                  <c:v>118</c:v>
                </c:pt>
                <c:pt idx="243">
                  <c:v>122</c:v>
                </c:pt>
                <c:pt idx="244">
                  <c:v>119</c:v>
                </c:pt>
                <c:pt idx="245">
                  <c:v>124</c:v>
                </c:pt>
                <c:pt idx="246">
                  <c:v>121</c:v>
                </c:pt>
                <c:pt idx="247">
                  <c:v>118</c:v>
                </c:pt>
                <c:pt idx="248">
                  <c:v>126</c:v>
                </c:pt>
                <c:pt idx="249">
                  <c:v>131</c:v>
                </c:pt>
                <c:pt idx="250">
                  <c:v>128</c:v>
                </c:pt>
                <c:pt idx="251">
                  <c:v>120</c:v>
                </c:pt>
                <c:pt idx="252">
                  <c:v>112</c:v>
                </c:pt>
                <c:pt idx="253">
                  <c:v>114</c:v>
                </c:pt>
                <c:pt idx="254">
                  <c:v>128</c:v>
                </c:pt>
                <c:pt idx="255">
                  <c:v>123</c:v>
                </c:pt>
                <c:pt idx="256">
                  <c:v>121</c:v>
                </c:pt>
                <c:pt idx="257">
                  <c:v>126</c:v>
                </c:pt>
                <c:pt idx="258">
                  <c:v>119</c:v>
                </c:pt>
                <c:pt idx="259">
                  <c:v>122</c:v>
                </c:pt>
                <c:pt idx="260">
                  <c:v>129</c:v>
                </c:pt>
                <c:pt idx="261">
                  <c:v>134</c:v>
                </c:pt>
                <c:pt idx="262">
                  <c:v>131</c:v>
                </c:pt>
                <c:pt idx="263">
                  <c:v>127</c:v>
                </c:pt>
                <c:pt idx="264">
                  <c:v>124</c:v>
                </c:pt>
                <c:pt idx="265">
                  <c:v>121</c:v>
                </c:pt>
                <c:pt idx="266">
                  <c:v>133</c:v>
                </c:pt>
                <c:pt idx="267">
                  <c:v>130</c:v>
                </c:pt>
                <c:pt idx="268">
                  <c:v>128</c:v>
                </c:pt>
                <c:pt idx="269">
                  <c:v>142</c:v>
                </c:pt>
                <c:pt idx="270">
                  <c:v>151</c:v>
                </c:pt>
                <c:pt idx="271">
                  <c:v>155</c:v>
                </c:pt>
                <c:pt idx="272">
                  <c:v>163</c:v>
                </c:pt>
                <c:pt idx="273">
                  <c:v>158</c:v>
                </c:pt>
                <c:pt idx="274">
                  <c:v>152</c:v>
                </c:pt>
                <c:pt idx="275">
                  <c:v>148</c:v>
                </c:pt>
                <c:pt idx="276">
                  <c:v>152</c:v>
                </c:pt>
                <c:pt idx="277">
                  <c:v>166</c:v>
                </c:pt>
                <c:pt idx="278">
                  <c:v>168</c:v>
                </c:pt>
                <c:pt idx="279">
                  <c:v>161</c:v>
                </c:pt>
                <c:pt idx="280">
                  <c:v>158</c:v>
                </c:pt>
                <c:pt idx="281">
                  <c:v>153</c:v>
                </c:pt>
                <c:pt idx="282">
                  <c:v>148</c:v>
                </c:pt>
                <c:pt idx="283">
                  <c:v>145</c:v>
                </c:pt>
                <c:pt idx="284">
                  <c:v>149</c:v>
                </c:pt>
                <c:pt idx="285">
                  <c:v>154</c:v>
                </c:pt>
                <c:pt idx="286">
                  <c:v>142</c:v>
                </c:pt>
                <c:pt idx="287">
                  <c:v>138</c:v>
                </c:pt>
                <c:pt idx="288">
                  <c:v>135</c:v>
                </c:pt>
                <c:pt idx="289">
                  <c:v>132</c:v>
                </c:pt>
                <c:pt idx="290">
                  <c:v>141</c:v>
                </c:pt>
                <c:pt idx="291">
                  <c:v>148</c:v>
                </c:pt>
                <c:pt idx="292">
                  <c:v>156</c:v>
                </c:pt>
                <c:pt idx="293">
                  <c:v>151</c:v>
                </c:pt>
                <c:pt idx="294">
                  <c:v>146</c:v>
                </c:pt>
                <c:pt idx="295">
                  <c:v>142</c:v>
                </c:pt>
                <c:pt idx="296">
                  <c:v>149</c:v>
                </c:pt>
                <c:pt idx="297">
                  <c:v>153</c:v>
                </c:pt>
                <c:pt idx="298">
                  <c:v>145</c:v>
                </c:pt>
                <c:pt idx="299">
                  <c:v>139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分析!$A$4</c:f>
              <c:strCache>
                <c:ptCount val="1"/>
                <c:pt idx="0">
                  <c:v>南极点与北极点大气层厚度之和除以20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分析!$B$1:$KO$1</c:f>
              <c:strCache>
                <c:ptCount val="300"/>
                <c:pt idx="0">
                  <c:v>2001/1/1</c:v>
                </c:pt>
                <c:pt idx="1">
                  <c:v>2001/2/1</c:v>
                </c:pt>
                <c:pt idx="2">
                  <c:v>2001/3/1</c:v>
                </c:pt>
                <c:pt idx="3">
                  <c:v>2001/4/1</c:v>
                </c:pt>
                <c:pt idx="4">
                  <c:v>2001/5/1</c:v>
                </c:pt>
                <c:pt idx="5">
                  <c:v>2001/6/1</c:v>
                </c:pt>
                <c:pt idx="6">
                  <c:v>2001/7/1</c:v>
                </c:pt>
                <c:pt idx="7">
                  <c:v>2001/8/1</c:v>
                </c:pt>
                <c:pt idx="8">
                  <c:v>2001/9/1</c:v>
                </c:pt>
                <c:pt idx="9">
                  <c:v>2001/10/1</c:v>
                </c:pt>
                <c:pt idx="10">
                  <c:v>2001/11/1</c:v>
                </c:pt>
                <c:pt idx="11">
                  <c:v>2001/12/1</c:v>
                </c:pt>
                <c:pt idx="12">
                  <c:v>2002/1/1</c:v>
                </c:pt>
                <c:pt idx="13">
                  <c:v>2002/2/1</c:v>
                </c:pt>
                <c:pt idx="14">
                  <c:v>2002/3/1</c:v>
                </c:pt>
                <c:pt idx="15">
                  <c:v>2002/4/1</c:v>
                </c:pt>
                <c:pt idx="16">
                  <c:v>2002/5/1</c:v>
                </c:pt>
                <c:pt idx="17">
                  <c:v>2002/6/1</c:v>
                </c:pt>
                <c:pt idx="18">
                  <c:v>2002/7/1</c:v>
                </c:pt>
                <c:pt idx="19">
                  <c:v>2002/8/1</c:v>
                </c:pt>
                <c:pt idx="20">
                  <c:v>2002/9/1</c:v>
                </c:pt>
                <c:pt idx="21">
                  <c:v>2002/10/1</c:v>
                </c:pt>
                <c:pt idx="22">
                  <c:v>2002/11/1</c:v>
                </c:pt>
                <c:pt idx="23">
                  <c:v>2002/12/1</c:v>
                </c:pt>
                <c:pt idx="24">
                  <c:v>2003/1/1</c:v>
                </c:pt>
                <c:pt idx="25">
                  <c:v>2003/2/1</c:v>
                </c:pt>
                <c:pt idx="26">
                  <c:v>2003/3/1</c:v>
                </c:pt>
                <c:pt idx="27">
                  <c:v>2003/4/1</c:v>
                </c:pt>
                <c:pt idx="28">
                  <c:v>2003/5/1</c:v>
                </c:pt>
                <c:pt idx="29">
                  <c:v>2003/6/1</c:v>
                </c:pt>
                <c:pt idx="30">
                  <c:v>2003/7/1</c:v>
                </c:pt>
                <c:pt idx="31">
                  <c:v>2003/8/1</c:v>
                </c:pt>
                <c:pt idx="32">
                  <c:v>2003/9/1</c:v>
                </c:pt>
                <c:pt idx="33">
                  <c:v>2003/10/1</c:v>
                </c:pt>
                <c:pt idx="34">
                  <c:v>2003/11/1</c:v>
                </c:pt>
                <c:pt idx="35">
                  <c:v>2003/12/1</c:v>
                </c:pt>
                <c:pt idx="36">
                  <c:v>2004/1/1</c:v>
                </c:pt>
                <c:pt idx="37">
                  <c:v>2004/2/1</c:v>
                </c:pt>
                <c:pt idx="38">
                  <c:v>2004/3/1</c:v>
                </c:pt>
                <c:pt idx="39">
                  <c:v>2004/4/1</c:v>
                </c:pt>
                <c:pt idx="40">
                  <c:v>2004/5/1</c:v>
                </c:pt>
                <c:pt idx="41">
                  <c:v>2004/6/1</c:v>
                </c:pt>
                <c:pt idx="42">
                  <c:v>2004/7/1</c:v>
                </c:pt>
                <c:pt idx="43">
                  <c:v>2004/8/1</c:v>
                </c:pt>
                <c:pt idx="44">
                  <c:v>2004/9/1</c:v>
                </c:pt>
                <c:pt idx="45">
                  <c:v>2004/10/1</c:v>
                </c:pt>
                <c:pt idx="46">
                  <c:v>2004/11/1</c:v>
                </c:pt>
                <c:pt idx="47">
                  <c:v>2004/12/1</c:v>
                </c:pt>
                <c:pt idx="48">
                  <c:v>2005/1/1</c:v>
                </c:pt>
                <c:pt idx="49">
                  <c:v>2005/2/1</c:v>
                </c:pt>
                <c:pt idx="50">
                  <c:v>2005/3/1</c:v>
                </c:pt>
                <c:pt idx="51">
                  <c:v>2005/4/1</c:v>
                </c:pt>
                <c:pt idx="52">
                  <c:v>2005/5/1</c:v>
                </c:pt>
                <c:pt idx="53">
                  <c:v>2005/6/1</c:v>
                </c:pt>
                <c:pt idx="54">
                  <c:v>2005/7/1</c:v>
                </c:pt>
                <c:pt idx="55">
                  <c:v>2005/8/1</c:v>
                </c:pt>
                <c:pt idx="56">
                  <c:v>2005/9/1</c:v>
                </c:pt>
                <c:pt idx="57">
                  <c:v>2005/10/1</c:v>
                </c:pt>
                <c:pt idx="58">
                  <c:v>2005/11/1</c:v>
                </c:pt>
                <c:pt idx="59">
                  <c:v>2005/12/1</c:v>
                </c:pt>
                <c:pt idx="60">
                  <c:v>2006/1/1</c:v>
                </c:pt>
                <c:pt idx="61">
                  <c:v>2006/2/1</c:v>
                </c:pt>
                <c:pt idx="62">
                  <c:v>2006/3/1</c:v>
                </c:pt>
                <c:pt idx="63">
                  <c:v>2006/4/1</c:v>
                </c:pt>
                <c:pt idx="64">
                  <c:v>2006/5/1</c:v>
                </c:pt>
                <c:pt idx="65">
                  <c:v>2006/6/1</c:v>
                </c:pt>
                <c:pt idx="66">
                  <c:v>2006/7/1</c:v>
                </c:pt>
                <c:pt idx="67">
                  <c:v>2006/8/1</c:v>
                </c:pt>
                <c:pt idx="68">
                  <c:v>2006/9/1</c:v>
                </c:pt>
                <c:pt idx="69">
                  <c:v>2006/10/1</c:v>
                </c:pt>
                <c:pt idx="70">
                  <c:v>2006/11/1</c:v>
                </c:pt>
                <c:pt idx="71">
                  <c:v>2006/12/1</c:v>
                </c:pt>
                <c:pt idx="72">
                  <c:v>2007/1/1</c:v>
                </c:pt>
                <c:pt idx="73">
                  <c:v>2007/2/1</c:v>
                </c:pt>
                <c:pt idx="74">
                  <c:v>2007/3/1</c:v>
                </c:pt>
                <c:pt idx="75">
                  <c:v>2007/4/1</c:v>
                </c:pt>
                <c:pt idx="76">
                  <c:v>2007/5/1</c:v>
                </c:pt>
                <c:pt idx="77">
                  <c:v>2007/6/1</c:v>
                </c:pt>
                <c:pt idx="78">
                  <c:v>2007/7/1</c:v>
                </c:pt>
                <c:pt idx="79">
                  <c:v>2007/8/1</c:v>
                </c:pt>
                <c:pt idx="80">
                  <c:v>2007/9/1</c:v>
                </c:pt>
                <c:pt idx="81">
                  <c:v>2007/10/1</c:v>
                </c:pt>
                <c:pt idx="82">
                  <c:v>2007/11/1</c:v>
                </c:pt>
                <c:pt idx="83">
                  <c:v>2007/12/1</c:v>
                </c:pt>
                <c:pt idx="84">
                  <c:v>2008/1/1</c:v>
                </c:pt>
                <c:pt idx="85">
                  <c:v>2008/2/1</c:v>
                </c:pt>
                <c:pt idx="86">
                  <c:v>2008/3/1</c:v>
                </c:pt>
                <c:pt idx="87">
                  <c:v>2008/4/1</c:v>
                </c:pt>
                <c:pt idx="88">
                  <c:v>2008/5/1</c:v>
                </c:pt>
                <c:pt idx="89">
                  <c:v>2008/6/1</c:v>
                </c:pt>
                <c:pt idx="90">
                  <c:v>2008/7/1</c:v>
                </c:pt>
                <c:pt idx="91">
                  <c:v>2008/8/1</c:v>
                </c:pt>
                <c:pt idx="92">
                  <c:v>2008/9/1</c:v>
                </c:pt>
                <c:pt idx="93">
                  <c:v>2008/10/1</c:v>
                </c:pt>
                <c:pt idx="94">
                  <c:v>2008/11/1</c:v>
                </c:pt>
                <c:pt idx="95">
                  <c:v>2008/12/1</c:v>
                </c:pt>
                <c:pt idx="96">
                  <c:v>2009/1/1</c:v>
                </c:pt>
                <c:pt idx="97">
                  <c:v>2009/2/1</c:v>
                </c:pt>
                <c:pt idx="98">
                  <c:v>2009/3/1</c:v>
                </c:pt>
                <c:pt idx="99">
                  <c:v>2009/4/1</c:v>
                </c:pt>
                <c:pt idx="100">
                  <c:v>2009/5/1</c:v>
                </c:pt>
                <c:pt idx="101">
                  <c:v>2009/6/1</c:v>
                </c:pt>
                <c:pt idx="102">
                  <c:v>2009/7/1</c:v>
                </c:pt>
                <c:pt idx="103">
                  <c:v>2009/8/1</c:v>
                </c:pt>
                <c:pt idx="104">
                  <c:v>2009/9/1</c:v>
                </c:pt>
                <c:pt idx="105">
                  <c:v>2009/10/1</c:v>
                </c:pt>
                <c:pt idx="106">
                  <c:v>2009/11/1</c:v>
                </c:pt>
                <c:pt idx="107">
                  <c:v>2009/12/1</c:v>
                </c:pt>
                <c:pt idx="108">
                  <c:v>2010/1/1</c:v>
                </c:pt>
                <c:pt idx="109">
                  <c:v>2010/2/1</c:v>
                </c:pt>
                <c:pt idx="110">
                  <c:v>2010/3/1</c:v>
                </c:pt>
                <c:pt idx="111">
                  <c:v>2010/4/1</c:v>
                </c:pt>
                <c:pt idx="112">
                  <c:v>2010/5/1</c:v>
                </c:pt>
                <c:pt idx="113">
                  <c:v>2010/6/1</c:v>
                </c:pt>
                <c:pt idx="114">
                  <c:v>2010/7/1</c:v>
                </c:pt>
                <c:pt idx="115">
                  <c:v>2010/8/1</c:v>
                </c:pt>
                <c:pt idx="116">
                  <c:v>2010/9/1</c:v>
                </c:pt>
                <c:pt idx="117">
                  <c:v>2010/10/1</c:v>
                </c:pt>
                <c:pt idx="118">
                  <c:v>2010/11/1</c:v>
                </c:pt>
                <c:pt idx="119">
                  <c:v>2010/12/1</c:v>
                </c:pt>
                <c:pt idx="120">
                  <c:v>2011/1/1</c:v>
                </c:pt>
                <c:pt idx="121">
                  <c:v>2011/2/1</c:v>
                </c:pt>
                <c:pt idx="122">
                  <c:v>2011/3/1</c:v>
                </c:pt>
                <c:pt idx="123">
                  <c:v>2011/4/1</c:v>
                </c:pt>
                <c:pt idx="124">
                  <c:v>2011/5/1</c:v>
                </c:pt>
                <c:pt idx="125">
                  <c:v>2011/6/1</c:v>
                </c:pt>
                <c:pt idx="126">
                  <c:v>2011/7/1</c:v>
                </c:pt>
                <c:pt idx="127">
                  <c:v>2011/8/1</c:v>
                </c:pt>
                <c:pt idx="128">
                  <c:v>2011/9/1</c:v>
                </c:pt>
                <c:pt idx="129">
                  <c:v>2011/10/1</c:v>
                </c:pt>
                <c:pt idx="130">
                  <c:v>2011/11/1</c:v>
                </c:pt>
                <c:pt idx="131">
                  <c:v>2011/12/1</c:v>
                </c:pt>
                <c:pt idx="132">
                  <c:v>2012/1/1</c:v>
                </c:pt>
                <c:pt idx="133">
                  <c:v>2012/2/1</c:v>
                </c:pt>
                <c:pt idx="134">
                  <c:v>2012/3/1</c:v>
                </c:pt>
                <c:pt idx="135">
                  <c:v>2012/4/1</c:v>
                </c:pt>
                <c:pt idx="136">
                  <c:v>2012/5/1</c:v>
                </c:pt>
                <c:pt idx="137">
                  <c:v>2012/6/1</c:v>
                </c:pt>
                <c:pt idx="138">
                  <c:v>2012/7/1</c:v>
                </c:pt>
                <c:pt idx="139">
                  <c:v>2012/8/1</c:v>
                </c:pt>
                <c:pt idx="140">
                  <c:v>2012/9/1</c:v>
                </c:pt>
                <c:pt idx="141">
                  <c:v>2012/10/1</c:v>
                </c:pt>
                <c:pt idx="142">
                  <c:v>2012/11/1</c:v>
                </c:pt>
                <c:pt idx="143">
                  <c:v>2012/12/1</c:v>
                </c:pt>
                <c:pt idx="144">
                  <c:v>2013/1/1</c:v>
                </c:pt>
                <c:pt idx="145">
                  <c:v>2013/2/1</c:v>
                </c:pt>
                <c:pt idx="146">
                  <c:v>2013/3/1</c:v>
                </c:pt>
                <c:pt idx="147">
                  <c:v>2013/4/1</c:v>
                </c:pt>
                <c:pt idx="148">
                  <c:v>2013/5/1</c:v>
                </c:pt>
                <c:pt idx="149">
                  <c:v>2013/6/1</c:v>
                </c:pt>
                <c:pt idx="150">
                  <c:v>2013/7/1</c:v>
                </c:pt>
                <c:pt idx="151">
                  <c:v>2013/8/1</c:v>
                </c:pt>
                <c:pt idx="152">
                  <c:v>2013/9/1</c:v>
                </c:pt>
                <c:pt idx="153">
                  <c:v>2013/10/1</c:v>
                </c:pt>
                <c:pt idx="154">
                  <c:v>2013/11/1</c:v>
                </c:pt>
                <c:pt idx="155">
                  <c:v>2013/12/1</c:v>
                </c:pt>
                <c:pt idx="156">
                  <c:v>2014/1/1</c:v>
                </c:pt>
                <c:pt idx="157">
                  <c:v>2014/2/1</c:v>
                </c:pt>
                <c:pt idx="158">
                  <c:v>2014/3/1</c:v>
                </c:pt>
                <c:pt idx="159">
                  <c:v>2014/4/1</c:v>
                </c:pt>
                <c:pt idx="160">
                  <c:v>2014/5/1</c:v>
                </c:pt>
                <c:pt idx="161">
                  <c:v>2014/6/1</c:v>
                </c:pt>
                <c:pt idx="162">
                  <c:v>2014/7/1</c:v>
                </c:pt>
                <c:pt idx="163">
                  <c:v>2014/8/1</c:v>
                </c:pt>
                <c:pt idx="164">
                  <c:v>2014/9/1</c:v>
                </c:pt>
                <c:pt idx="165">
                  <c:v>2014/10/1</c:v>
                </c:pt>
                <c:pt idx="166">
                  <c:v>2014/11/1</c:v>
                </c:pt>
                <c:pt idx="167">
                  <c:v>2014/12/1</c:v>
                </c:pt>
                <c:pt idx="168">
                  <c:v>2015/1/1</c:v>
                </c:pt>
                <c:pt idx="169">
                  <c:v>2015/2/1</c:v>
                </c:pt>
                <c:pt idx="170">
                  <c:v>2015/3/1</c:v>
                </c:pt>
                <c:pt idx="171">
                  <c:v>2015/4/1</c:v>
                </c:pt>
                <c:pt idx="172">
                  <c:v>2015/5/1</c:v>
                </c:pt>
                <c:pt idx="173">
                  <c:v>2015/6/1</c:v>
                </c:pt>
                <c:pt idx="174">
                  <c:v>2015/7/1</c:v>
                </c:pt>
                <c:pt idx="175">
                  <c:v>2015/8/1</c:v>
                </c:pt>
                <c:pt idx="176">
                  <c:v>2015/9/1</c:v>
                </c:pt>
                <c:pt idx="177">
                  <c:v>2015/10/1</c:v>
                </c:pt>
                <c:pt idx="178">
                  <c:v>2015/11/1</c:v>
                </c:pt>
                <c:pt idx="179">
                  <c:v>2015/12/1</c:v>
                </c:pt>
                <c:pt idx="180">
                  <c:v>2016/1/1</c:v>
                </c:pt>
                <c:pt idx="181">
                  <c:v>2016/2/1</c:v>
                </c:pt>
                <c:pt idx="182">
                  <c:v>2016/3/1</c:v>
                </c:pt>
                <c:pt idx="183">
                  <c:v>2016/4/1</c:v>
                </c:pt>
                <c:pt idx="184">
                  <c:v>2016/5/1</c:v>
                </c:pt>
                <c:pt idx="185">
                  <c:v>2016/6/1</c:v>
                </c:pt>
                <c:pt idx="186">
                  <c:v>2016/7/1</c:v>
                </c:pt>
                <c:pt idx="187">
                  <c:v>2016/8/1</c:v>
                </c:pt>
                <c:pt idx="188">
                  <c:v>2016/9/1</c:v>
                </c:pt>
                <c:pt idx="189">
                  <c:v>2016/10/1</c:v>
                </c:pt>
                <c:pt idx="190">
                  <c:v>2016/11/1</c:v>
                </c:pt>
                <c:pt idx="191">
                  <c:v>2016/12/1</c:v>
                </c:pt>
                <c:pt idx="192">
                  <c:v>2017/1/1</c:v>
                </c:pt>
                <c:pt idx="193">
                  <c:v>2017/2/1</c:v>
                </c:pt>
                <c:pt idx="194">
                  <c:v>2017/3/1</c:v>
                </c:pt>
                <c:pt idx="195">
                  <c:v>2017/4/1</c:v>
                </c:pt>
                <c:pt idx="196">
                  <c:v>2017/5/1</c:v>
                </c:pt>
                <c:pt idx="197">
                  <c:v>2017/6/1</c:v>
                </c:pt>
                <c:pt idx="198">
                  <c:v>2017/7/1</c:v>
                </c:pt>
                <c:pt idx="199">
                  <c:v>2017/8/1</c:v>
                </c:pt>
                <c:pt idx="200">
                  <c:v>2017/9/1</c:v>
                </c:pt>
                <c:pt idx="201">
                  <c:v>2017/10/1</c:v>
                </c:pt>
                <c:pt idx="202">
                  <c:v>2017/11/1</c:v>
                </c:pt>
                <c:pt idx="203">
                  <c:v>2017/12/1</c:v>
                </c:pt>
                <c:pt idx="204">
                  <c:v>2018/1/1</c:v>
                </c:pt>
                <c:pt idx="205">
                  <c:v>2018/2/1</c:v>
                </c:pt>
                <c:pt idx="206">
                  <c:v>2018/3/1</c:v>
                </c:pt>
                <c:pt idx="207">
                  <c:v>2018/4/1</c:v>
                </c:pt>
                <c:pt idx="208">
                  <c:v>2018/5/1</c:v>
                </c:pt>
                <c:pt idx="209">
                  <c:v>2018/6/1</c:v>
                </c:pt>
                <c:pt idx="210">
                  <c:v>2018/7/1</c:v>
                </c:pt>
                <c:pt idx="211">
                  <c:v>2018/8/1</c:v>
                </c:pt>
                <c:pt idx="212">
                  <c:v>2018/9/1</c:v>
                </c:pt>
                <c:pt idx="213">
                  <c:v>2018/10/1</c:v>
                </c:pt>
                <c:pt idx="214">
                  <c:v>2018/11/1</c:v>
                </c:pt>
                <c:pt idx="215">
                  <c:v>2018/12/1</c:v>
                </c:pt>
                <c:pt idx="216">
                  <c:v>2019/1/1</c:v>
                </c:pt>
                <c:pt idx="217">
                  <c:v>2019/2/1</c:v>
                </c:pt>
                <c:pt idx="218">
                  <c:v>2019/3/1</c:v>
                </c:pt>
                <c:pt idx="219">
                  <c:v>2019/4/1</c:v>
                </c:pt>
                <c:pt idx="220">
                  <c:v>2019/5/1</c:v>
                </c:pt>
                <c:pt idx="221">
                  <c:v>2019/6/1</c:v>
                </c:pt>
                <c:pt idx="222">
                  <c:v>2019/7/1</c:v>
                </c:pt>
                <c:pt idx="223">
                  <c:v>2019/8/1</c:v>
                </c:pt>
                <c:pt idx="224">
                  <c:v>2019/9/1</c:v>
                </c:pt>
                <c:pt idx="225">
                  <c:v>2019/10/1</c:v>
                </c:pt>
                <c:pt idx="226">
                  <c:v>2019/11/1</c:v>
                </c:pt>
                <c:pt idx="227">
                  <c:v>2019/12/1</c:v>
                </c:pt>
                <c:pt idx="228">
                  <c:v>2020/1/1</c:v>
                </c:pt>
                <c:pt idx="229">
                  <c:v>2020/2/1</c:v>
                </c:pt>
                <c:pt idx="230">
                  <c:v>2020/3/1</c:v>
                </c:pt>
                <c:pt idx="231">
                  <c:v>2020/4/1</c:v>
                </c:pt>
                <c:pt idx="232">
                  <c:v>2020/5/1</c:v>
                </c:pt>
                <c:pt idx="233">
                  <c:v>2020/6/1</c:v>
                </c:pt>
                <c:pt idx="234">
                  <c:v>2020/7/1</c:v>
                </c:pt>
                <c:pt idx="235">
                  <c:v>2020/8/1</c:v>
                </c:pt>
                <c:pt idx="236">
                  <c:v>2020/9/1</c:v>
                </c:pt>
                <c:pt idx="237">
                  <c:v>2020/10/1</c:v>
                </c:pt>
                <c:pt idx="238">
                  <c:v>2020/11/1</c:v>
                </c:pt>
                <c:pt idx="239">
                  <c:v>2020/12/1</c:v>
                </c:pt>
                <c:pt idx="240">
                  <c:v>2021/1/1</c:v>
                </c:pt>
                <c:pt idx="241">
                  <c:v>2021/2/1</c:v>
                </c:pt>
                <c:pt idx="242">
                  <c:v>2021/3/1</c:v>
                </c:pt>
                <c:pt idx="243">
                  <c:v>2021/4/1</c:v>
                </c:pt>
                <c:pt idx="244">
                  <c:v>2021/5/1</c:v>
                </c:pt>
                <c:pt idx="245">
                  <c:v>2021/6/1</c:v>
                </c:pt>
                <c:pt idx="246">
                  <c:v>2021/7/1</c:v>
                </c:pt>
                <c:pt idx="247">
                  <c:v>2021/8/1</c:v>
                </c:pt>
                <c:pt idx="248">
                  <c:v>2021/9/1</c:v>
                </c:pt>
                <c:pt idx="249">
                  <c:v>2021/10/1</c:v>
                </c:pt>
                <c:pt idx="250">
                  <c:v>2021/11/1</c:v>
                </c:pt>
                <c:pt idx="251">
                  <c:v>2021/12/1</c:v>
                </c:pt>
                <c:pt idx="252">
                  <c:v>2022/1/1</c:v>
                </c:pt>
                <c:pt idx="253">
                  <c:v>2022/2/1</c:v>
                </c:pt>
                <c:pt idx="254">
                  <c:v>2022/3/1</c:v>
                </c:pt>
                <c:pt idx="255">
                  <c:v>2022/4/1</c:v>
                </c:pt>
                <c:pt idx="256">
                  <c:v>2022/5/1</c:v>
                </c:pt>
                <c:pt idx="257">
                  <c:v>2022/6/1</c:v>
                </c:pt>
                <c:pt idx="258">
                  <c:v>2022/7/1</c:v>
                </c:pt>
                <c:pt idx="259">
                  <c:v>2022/8/1</c:v>
                </c:pt>
                <c:pt idx="260">
                  <c:v>2022/9/1</c:v>
                </c:pt>
                <c:pt idx="261">
                  <c:v>2022/10/1</c:v>
                </c:pt>
                <c:pt idx="262">
                  <c:v>2022/11/1</c:v>
                </c:pt>
                <c:pt idx="263">
                  <c:v>2022/12/1</c:v>
                </c:pt>
                <c:pt idx="264">
                  <c:v>2023/1/1</c:v>
                </c:pt>
                <c:pt idx="265">
                  <c:v>2023/2/1</c:v>
                </c:pt>
                <c:pt idx="266">
                  <c:v>2023/3/1</c:v>
                </c:pt>
                <c:pt idx="267">
                  <c:v>2023/4/1</c:v>
                </c:pt>
                <c:pt idx="268">
                  <c:v>2023/5/1</c:v>
                </c:pt>
                <c:pt idx="269">
                  <c:v>2023/6/1</c:v>
                </c:pt>
                <c:pt idx="270">
                  <c:v>2023/7/1</c:v>
                </c:pt>
                <c:pt idx="271">
                  <c:v>2023/8/1</c:v>
                </c:pt>
                <c:pt idx="272">
                  <c:v>2023/9/1</c:v>
                </c:pt>
                <c:pt idx="273">
                  <c:v>2023/10/1</c:v>
                </c:pt>
                <c:pt idx="274">
                  <c:v>2023/11/1</c:v>
                </c:pt>
                <c:pt idx="275">
                  <c:v>2023/12/1</c:v>
                </c:pt>
                <c:pt idx="276">
                  <c:v>2024/1/1</c:v>
                </c:pt>
                <c:pt idx="277">
                  <c:v>2024/2/1</c:v>
                </c:pt>
                <c:pt idx="278">
                  <c:v>2024/3/1</c:v>
                </c:pt>
                <c:pt idx="279">
                  <c:v>2024/4/1</c:v>
                </c:pt>
                <c:pt idx="280">
                  <c:v>2024/5/1</c:v>
                </c:pt>
                <c:pt idx="281">
                  <c:v>2024/6/1</c:v>
                </c:pt>
                <c:pt idx="282">
                  <c:v>2024/7/1</c:v>
                </c:pt>
                <c:pt idx="283">
                  <c:v>2024/8/1</c:v>
                </c:pt>
                <c:pt idx="284">
                  <c:v>2024/9/1</c:v>
                </c:pt>
                <c:pt idx="285">
                  <c:v>2024/10/1</c:v>
                </c:pt>
                <c:pt idx="286">
                  <c:v>2024/11/1</c:v>
                </c:pt>
                <c:pt idx="287">
                  <c:v>2024/12/1</c:v>
                </c:pt>
                <c:pt idx="288">
                  <c:v>2025/1/1</c:v>
                </c:pt>
                <c:pt idx="289">
                  <c:v>2025/2/1</c:v>
                </c:pt>
                <c:pt idx="290">
                  <c:v>2025/3/1</c:v>
                </c:pt>
                <c:pt idx="291">
                  <c:v>2025/4/1</c:v>
                </c:pt>
                <c:pt idx="292">
                  <c:v>2025/5/1</c:v>
                </c:pt>
                <c:pt idx="293">
                  <c:v>2025/6/1</c:v>
                </c:pt>
                <c:pt idx="294">
                  <c:v>2025/7/1</c:v>
                </c:pt>
                <c:pt idx="295">
                  <c:v>2025/8/1</c:v>
                </c:pt>
                <c:pt idx="296">
                  <c:v>2025/9/1</c:v>
                </c:pt>
                <c:pt idx="297">
                  <c:v>2025/10/1</c:v>
                </c:pt>
                <c:pt idx="298">
                  <c:v>2025/11/1</c:v>
                </c:pt>
                <c:pt idx="299">
                  <c:v>2025/12/1</c:v>
                </c:pt>
              </c:strCache>
            </c:strRef>
          </c:cat>
          <c:val>
            <c:numRef>
              <c:f>分析!$B$4:$KO$4</c:f>
              <c:numCache>
                <c:formatCode>General</c:formatCode>
                <c:ptCount val="300"/>
                <c:pt idx="0">
                  <c:v>51.87</c:v>
                </c:pt>
                <c:pt idx="1">
                  <c:v>51.81</c:v>
                </c:pt>
                <c:pt idx="2">
                  <c:v>50.725</c:v>
                </c:pt>
                <c:pt idx="3">
                  <c:v>49.04</c:v>
                </c:pt>
                <c:pt idx="4">
                  <c:v>47.32</c:v>
                </c:pt>
                <c:pt idx="5">
                  <c:v>45.505</c:v>
                </c:pt>
                <c:pt idx="6">
                  <c:v>44.53</c:v>
                </c:pt>
                <c:pt idx="7">
                  <c:v>45.02</c:v>
                </c:pt>
                <c:pt idx="8">
                  <c:v>46.545</c:v>
                </c:pt>
                <c:pt idx="9">
                  <c:v>48.31</c:v>
                </c:pt>
                <c:pt idx="10">
                  <c:v>50.235</c:v>
                </c:pt>
                <c:pt idx="11">
                  <c:v>51.315</c:v>
                </c:pt>
                <c:pt idx="12">
                  <c:v>51.69</c:v>
                </c:pt>
                <c:pt idx="13">
                  <c:v>51.52</c:v>
                </c:pt>
                <c:pt idx="14">
                  <c:v>50.51</c:v>
                </c:pt>
                <c:pt idx="15">
                  <c:v>48.875</c:v>
                </c:pt>
                <c:pt idx="16">
                  <c:v>46.855</c:v>
                </c:pt>
                <c:pt idx="17">
                  <c:v>45.165</c:v>
                </c:pt>
                <c:pt idx="18">
                  <c:v>44.02</c:v>
                </c:pt>
                <c:pt idx="19">
                  <c:v>44.63</c:v>
                </c:pt>
                <c:pt idx="20">
                  <c:v>46.27</c:v>
                </c:pt>
                <c:pt idx="21">
                  <c:v>48.14</c:v>
                </c:pt>
                <c:pt idx="22">
                  <c:v>50.015</c:v>
                </c:pt>
                <c:pt idx="23">
                  <c:v>51.185</c:v>
                </c:pt>
                <c:pt idx="24">
                  <c:v>50.31</c:v>
                </c:pt>
                <c:pt idx="25">
                  <c:v>50.04</c:v>
                </c:pt>
                <c:pt idx="26">
                  <c:v>48.515</c:v>
                </c:pt>
                <c:pt idx="27">
                  <c:v>47.03</c:v>
                </c:pt>
                <c:pt idx="28">
                  <c:v>45.07</c:v>
                </c:pt>
                <c:pt idx="29">
                  <c:v>43.385</c:v>
                </c:pt>
                <c:pt idx="30">
                  <c:v>42.66</c:v>
                </c:pt>
                <c:pt idx="31">
                  <c:v>43.18</c:v>
                </c:pt>
                <c:pt idx="32">
                  <c:v>44.37</c:v>
                </c:pt>
                <c:pt idx="33">
                  <c:v>46.44</c:v>
                </c:pt>
                <c:pt idx="34">
                  <c:v>53.675</c:v>
                </c:pt>
                <c:pt idx="35">
                  <c:v>50.66</c:v>
                </c:pt>
                <c:pt idx="36">
                  <c:v>49.22</c:v>
                </c:pt>
                <c:pt idx="37">
                  <c:v>48.955</c:v>
                </c:pt>
                <c:pt idx="38">
                  <c:v>47.54</c:v>
                </c:pt>
                <c:pt idx="39">
                  <c:v>45.88</c:v>
                </c:pt>
                <c:pt idx="40">
                  <c:v>43.91</c:v>
                </c:pt>
                <c:pt idx="41">
                  <c:v>42.225</c:v>
                </c:pt>
                <c:pt idx="42">
                  <c:v>41.51</c:v>
                </c:pt>
                <c:pt idx="43">
                  <c:v>41.97</c:v>
                </c:pt>
                <c:pt idx="44">
                  <c:v>43.18</c:v>
                </c:pt>
                <c:pt idx="45">
                  <c:v>44.51</c:v>
                </c:pt>
                <c:pt idx="46">
                  <c:v>46.035</c:v>
                </c:pt>
                <c:pt idx="47">
                  <c:v>47.77</c:v>
                </c:pt>
                <c:pt idx="48">
                  <c:v>46.67</c:v>
                </c:pt>
                <c:pt idx="49">
                  <c:v>46.005</c:v>
                </c:pt>
                <c:pt idx="50">
                  <c:v>44.54</c:v>
                </c:pt>
                <c:pt idx="51">
                  <c:v>42.88</c:v>
                </c:pt>
                <c:pt idx="52">
                  <c:v>41.115</c:v>
                </c:pt>
                <c:pt idx="53">
                  <c:v>39.885</c:v>
                </c:pt>
                <c:pt idx="54">
                  <c:v>38.89</c:v>
                </c:pt>
                <c:pt idx="55">
                  <c:v>39.33</c:v>
                </c:pt>
                <c:pt idx="56">
                  <c:v>40.52</c:v>
                </c:pt>
                <c:pt idx="57">
                  <c:v>42.26</c:v>
                </c:pt>
                <c:pt idx="58">
                  <c:v>43.735</c:v>
                </c:pt>
                <c:pt idx="59">
                  <c:v>45.225</c:v>
                </c:pt>
                <c:pt idx="60">
                  <c:v>45.68</c:v>
                </c:pt>
                <c:pt idx="61">
                  <c:v>45.115</c:v>
                </c:pt>
                <c:pt idx="62">
                  <c:v>43.52</c:v>
                </c:pt>
                <c:pt idx="63">
                  <c:v>42.005</c:v>
                </c:pt>
                <c:pt idx="64">
                  <c:v>40.535</c:v>
                </c:pt>
                <c:pt idx="65">
                  <c:v>39.04</c:v>
                </c:pt>
                <c:pt idx="66">
                  <c:v>38.31</c:v>
                </c:pt>
                <c:pt idx="67">
                  <c:v>38.725</c:v>
                </c:pt>
                <c:pt idx="68">
                  <c:v>39.935</c:v>
                </c:pt>
                <c:pt idx="69">
                  <c:v>41.22</c:v>
                </c:pt>
                <c:pt idx="70">
                  <c:v>42.66</c:v>
                </c:pt>
                <c:pt idx="71">
                  <c:v>44.18</c:v>
                </c:pt>
                <c:pt idx="72">
                  <c:v>44.02</c:v>
                </c:pt>
                <c:pt idx="73">
                  <c:v>43.56</c:v>
                </c:pt>
                <c:pt idx="74">
                  <c:v>42.025</c:v>
                </c:pt>
                <c:pt idx="75">
                  <c:v>40.415</c:v>
                </c:pt>
                <c:pt idx="76">
                  <c:v>38.68</c:v>
                </c:pt>
                <c:pt idx="77">
                  <c:v>37.41</c:v>
                </c:pt>
                <c:pt idx="78">
                  <c:v>36.425</c:v>
                </c:pt>
                <c:pt idx="79">
                  <c:v>36.92</c:v>
                </c:pt>
                <c:pt idx="80">
                  <c:v>37.89</c:v>
                </c:pt>
                <c:pt idx="81">
                  <c:v>39.205</c:v>
                </c:pt>
                <c:pt idx="82">
                  <c:v>40.835</c:v>
                </c:pt>
                <c:pt idx="83">
                  <c:v>42.51</c:v>
                </c:pt>
                <c:pt idx="84">
                  <c:v>42.52</c:v>
                </c:pt>
                <c:pt idx="85">
                  <c:v>42.255</c:v>
                </c:pt>
                <c:pt idx="86">
                  <c:v>40.74</c:v>
                </c:pt>
                <c:pt idx="87">
                  <c:v>39.03</c:v>
                </c:pt>
                <c:pt idx="88">
                  <c:v>37.215</c:v>
                </c:pt>
                <c:pt idx="89">
                  <c:v>36.025</c:v>
                </c:pt>
                <c:pt idx="90">
                  <c:v>35.16</c:v>
                </c:pt>
                <c:pt idx="91">
                  <c:v>35.52</c:v>
                </c:pt>
                <c:pt idx="92">
                  <c:v>36.53</c:v>
                </c:pt>
                <c:pt idx="93">
                  <c:v>37.89</c:v>
                </c:pt>
                <c:pt idx="94">
                  <c:v>39.355</c:v>
                </c:pt>
                <c:pt idx="95">
                  <c:v>40.915</c:v>
                </c:pt>
                <c:pt idx="96">
                  <c:v>42.02</c:v>
                </c:pt>
                <c:pt idx="97">
                  <c:v>41.79</c:v>
                </c:pt>
                <c:pt idx="98">
                  <c:v>40.66</c:v>
                </c:pt>
                <c:pt idx="99">
                  <c:v>39.025</c:v>
                </c:pt>
                <c:pt idx="100">
                  <c:v>37.53</c:v>
                </c:pt>
                <c:pt idx="101">
                  <c:v>36.505</c:v>
                </c:pt>
                <c:pt idx="102">
                  <c:v>35.82</c:v>
                </c:pt>
                <c:pt idx="103">
                  <c:v>36.21</c:v>
                </c:pt>
                <c:pt idx="104">
                  <c:v>37.535</c:v>
                </c:pt>
                <c:pt idx="105">
                  <c:v>38.77</c:v>
                </c:pt>
                <c:pt idx="106">
                  <c:v>40.31</c:v>
                </c:pt>
                <c:pt idx="107">
                  <c:v>42.03</c:v>
                </c:pt>
                <c:pt idx="108">
                  <c:v>44.17</c:v>
                </c:pt>
                <c:pt idx="109">
                  <c:v>44.025</c:v>
                </c:pt>
                <c:pt idx="110">
                  <c:v>42.86</c:v>
                </c:pt>
                <c:pt idx="111">
                  <c:v>41.39</c:v>
                </c:pt>
                <c:pt idx="112">
                  <c:v>39.87</c:v>
                </c:pt>
                <c:pt idx="113">
                  <c:v>38.68</c:v>
                </c:pt>
                <c:pt idx="114">
                  <c:v>38.01</c:v>
                </c:pt>
                <c:pt idx="115">
                  <c:v>38.575</c:v>
                </c:pt>
                <c:pt idx="116">
                  <c:v>39.86</c:v>
                </c:pt>
                <c:pt idx="117">
                  <c:v>41.68</c:v>
                </c:pt>
                <c:pt idx="118">
                  <c:v>43.37</c:v>
                </c:pt>
                <c:pt idx="119">
                  <c:v>45.215</c:v>
                </c:pt>
                <c:pt idx="120">
                  <c:v>47.51</c:v>
                </c:pt>
                <c:pt idx="121">
                  <c:v>47.37</c:v>
                </c:pt>
                <c:pt idx="122">
                  <c:v>46.18</c:v>
                </c:pt>
                <c:pt idx="123">
                  <c:v>44.715</c:v>
                </c:pt>
                <c:pt idx="124">
                  <c:v>42.935</c:v>
                </c:pt>
                <c:pt idx="125">
                  <c:v>41.36</c:v>
                </c:pt>
                <c:pt idx="126">
                  <c:v>40.575</c:v>
                </c:pt>
                <c:pt idx="127">
                  <c:v>41.04</c:v>
                </c:pt>
                <c:pt idx="128">
                  <c:v>42.505</c:v>
                </c:pt>
                <c:pt idx="129">
                  <c:v>44.38</c:v>
                </c:pt>
                <c:pt idx="130">
                  <c:v>46.37</c:v>
                </c:pt>
                <c:pt idx="131">
                  <c:v>48.31</c:v>
                </c:pt>
                <c:pt idx="132">
                  <c:v>50.32</c:v>
                </c:pt>
                <c:pt idx="133">
                  <c:v>49.86</c:v>
                </c:pt>
                <c:pt idx="134">
                  <c:v>48.39</c:v>
                </c:pt>
                <c:pt idx="135">
                  <c:v>46.68</c:v>
                </c:pt>
                <c:pt idx="136">
                  <c:v>44.91</c:v>
                </c:pt>
                <c:pt idx="137">
                  <c:v>43.225</c:v>
                </c:pt>
                <c:pt idx="138">
                  <c:v>42.34</c:v>
                </c:pt>
                <c:pt idx="139">
                  <c:v>42.92</c:v>
                </c:pt>
                <c:pt idx="140">
                  <c:v>44.685</c:v>
                </c:pt>
                <c:pt idx="141">
                  <c:v>47.03</c:v>
                </c:pt>
                <c:pt idx="142">
                  <c:v>49.215</c:v>
                </c:pt>
                <c:pt idx="143">
                  <c:v>50.925</c:v>
                </c:pt>
                <c:pt idx="144">
                  <c:v>51.96</c:v>
                </c:pt>
                <c:pt idx="145">
                  <c:v>51.53</c:v>
                </c:pt>
                <c:pt idx="146">
                  <c:v>50.29</c:v>
                </c:pt>
                <c:pt idx="147">
                  <c:v>48.66</c:v>
                </c:pt>
                <c:pt idx="148">
                  <c:v>46.735</c:v>
                </c:pt>
                <c:pt idx="149">
                  <c:v>44.87</c:v>
                </c:pt>
                <c:pt idx="150">
                  <c:v>43.855</c:v>
                </c:pt>
                <c:pt idx="151">
                  <c:v>44.43</c:v>
                </c:pt>
                <c:pt idx="152">
                  <c:v>46.01</c:v>
                </c:pt>
                <c:pt idx="153">
                  <c:v>48.335</c:v>
                </c:pt>
                <c:pt idx="154">
                  <c:v>50.52</c:v>
                </c:pt>
                <c:pt idx="155">
                  <c:v>52.24</c:v>
                </c:pt>
                <c:pt idx="156">
                  <c:v>52.53</c:v>
                </c:pt>
                <c:pt idx="157">
                  <c:v>52.31</c:v>
                </c:pt>
                <c:pt idx="158">
                  <c:v>50.82</c:v>
                </c:pt>
                <c:pt idx="159">
                  <c:v>48.885</c:v>
                </c:pt>
                <c:pt idx="160">
                  <c:v>46.81</c:v>
                </c:pt>
                <c:pt idx="161">
                  <c:v>44.88</c:v>
                </c:pt>
                <c:pt idx="162">
                  <c:v>43.815</c:v>
                </c:pt>
                <c:pt idx="163">
                  <c:v>44.44</c:v>
                </c:pt>
                <c:pt idx="164">
                  <c:v>46.125</c:v>
                </c:pt>
                <c:pt idx="165">
                  <c:v>48.32</c:v>
                </c:pt>
                <c:pt idx="166">
                  <c:v>50.735</c:v>
                </c:pt>
                <c:pt idx="167">
                  <c:v>52.41</c:v>
                </c:pt>
                <c:pt idx="168">
                  <c:v>51.37</c:v>
                </c:pt>
                <c:pt idx="169">
                  <c:v>50.69</c:v>
                </c:pt>
                <c:pt idx="170">
                  <c:v>48.93</c:v>
                </c:pt>
                <c:pt idx="171">
                  <c:v>46.86</c:v>
                </c:pt>
                <c:pt idx="172">
                  <c:v>44.77</c:v>
                </c:pt>
                <c:pt idx="173">
                  <c:v>42.725</c:v>
                </c:pt>
                <c:pt idx="174">
                  <c:v>41.69</c:v>
                </c:pt>
                <c:pt idx="175">
                  <c:v>42.28</c:v>
                </c:pt>
                <c:pt idx="176">
                  <c:v>43.72</c:v>
                </c:pt>
                <c:pt idx="177">
                  <c:v>45.835</c:v>
                </c:pt>
                <c:pt idx="178">
                  <c:v>47.355</c:v>
                </c:pt>
                <c:pt idx="179">
                  <c:v>48.87</c:v>
                </c:pt>
                <c:pt idx="180">
                  <c:v>44.38</c:v>
                </c:pt>
                <c:pt idx="181">
                  <c:v>43.67</c:v>
                </c:pt>
                <c:pt idx="182">
                  <c:v>42.155</c:v>
                </c:pt>
                <c:pt idx="183">
                  <c:v>40.235</c:v>
                </c:pt>
                <c:pt idx="184">
                  <c:v>38.79</c:v>
                </c:pt>
                <c:pt idx="185">
                  <c:v>37.715</c:v>
                </c:pt>
                <c:pt idx="186">
                  <c:v>36.68</c:v>
                </c:pt>
                <c:pt idx="187">
                  <c:v>37.16</c:v>
                </c:pt>
                <c:pt idx="188">
                  <c:v>38.52</c:v>
                </c:pt>
                <c:pt idx="189">
                  <c:v>40.385</c:v>
                </c:pt>
                <c:pt idx="190">
                  <c:v>41.865</c:v>
                </c:pt>
                <c:pt idx="191">
                  <c:v>43.525</c:v>
                </c:pt>
                <c:pt idx="192">
                  <c:v>44.62</c:v>
                </c:pt>
                <c:pt idx="193">
                  <c:v>44.38</c:v>
                </c:pt>
                <c:pt idx="194">
                  <c:v>42.89</c:v>
                </c:pt>
                <c:pt idx="195">
                  <c:v>41.125</c:v>
                </c:pt>
                <c:pt idx="196">
                  <c:v>39.515</c:v>
                </c:pt>
                <c:pt idx="197">
                  <c:v>38.185</c:v>
                </c:pt>
                <c:pt idx="198">
                  <c:v>37.52</c:v>
                </c:pt>
                <c:pt idx="199">
                  <c:v>38.03</c:v>
                </c:pt>
                <c:pt idx="200">
                  <c:v>39.51</c:v>
                </c:pt>
                <c:pt idx="201">
                  <c:v>41.04</c:v>
                </c:pt>
                <c:pt idx="202">
                  <c:v>42.43</c:v>
                </c:pt>
                <c:pt idx="203">
                  <c:v>44.365</c:v>
                </c:pt>
                <c:pt idx="204">
                  <c:v>45.01</c:v>
                </c:pt>
                <c:pt idx="205">
                  <c:v>44.82</c:v>
                </c:pt>
                <c:pt idx="206">
                  <c:v>43.255</c:v>
                </c:pt>
                <c:pt idx="207">
                  <c:v>41.74</c:v>
                </c:pt>
                <c:pt idx="208">
                  <c:v>40.18</c:v>
                </c:pt>
                <c:pt idx="209">
                  <c:v>38.87</c:v>
                </c:pt>
                <c:pt idx="210">
                  <c:v>38.18</c:v>
                </c:pt>
                <c:pt idx="211">
                  <c:v>38.56</c:v>
                </c:pt>
                <c:pt idx="212">
                  <c:v>39.875</c:v>
                </c:pt>
                <c:pt idx="213">
                  <c:v>41.335</c:v>
                </c:pt>
                <c:pt idx="214">
                  <c:v>42.865</c:v>
                </c:pt>
                <c:pt idx="215">
                  <c:v>44.505</c:v>
                </c:pt>
                <c:pt idx="216">
                  <c:v>45.44</c:v>
                </c:pt>
                <c:pt idx="217">
                  <c:v>45.31</c:v>
                </c:pt>
                <c:pt idx="218">
                  <c:v>44.025</c:v>
                </c:pt>
                <c:pt idx="219">
                  <c:v>42.505</c:v>
                </c:pt>
                <c:pt idx="220">
                  <c:v>41.015</c:v>
                </c:pt>
                <c:pt idx="221">
                  <c:v>39.66</c:v>
                </c:pt>
                <c:pt idx="222">
                  <c:v>38.98</c:v>
                </c:pt>
                <c:pt idx="223">
                  <c:v>39.37</c:v>
                </c:pt>
                <c:pt idx="224">
                  <c:v>41.025</c:v>
                </c:pt>
                <c:pt idx="225">
                  <c:v>42.61</c:v>
                </c:pt>
                <c:pt idx="226">
                  <c:v>44.54</c:v>
                </c:pt>
                <c:pt idx="227">
                  <c:v>46.52</c:v>
                </c:pt>
                <c:pt idx="228">
                  <c:v>47.18</c:v>
                </c:pt>
                <c:pt idx="229">
                  <c:v>47.02</c:v>
                </c:pt>
                <c:pt idx="230">
                  <c:v>45.885</c:v>
                </c:pt>
                <c:pt idx="231">
                  <c:v>44.16</c:v>
                </c:pt>
                <c:pt idx="232">
                  <c:v>42.28</c:v>
                </c:pt>
                <c:pt idx="233">
                  <c:v>41.205</c:v>
                </c:pt>
                <c:pt idx="234">
                  <c:v>40.52</c:v>
                </c:pt>
                <c:pt idx="235">
                  <c:v>41.19</c:v>
                </c:pt>
                <c:pt idx="236">
                  <c:v>42.915</c:v>
                </c:pt>
                <c:pt idx="237">
                  <c:v>44.66</c:v>
                </c:pt>
                <c:pt idx="238">
                  <c:v>46.53</c:v>
                </c:pt>
                <c:pt idx="239">
                  <c:v>48.225</c:v>
                </c:pt>
                <c:pt idx="240">
                  <c:v>49.52</c:v>
                </c:pt>
                <c:pt idx="241">
                  <c:v>49.385</c:v>
                </c:pt>
                <c:pt idx="242">
                  <c:v>48.16</c:v>
                </c:pt>
                <c:pt idx="243">
                  <c:v>46.67</c:v>
                </c:pt>
                <c:pt idx="244">
                  <c:v>44.89</c:v>
                </c:pt>
                <c:pt idx="245">
                  <c:v>43.505</c:v>
                </c:pt>
                <c:pt idx="246">
                  <c:v>42.675</c:v>
                </c:pt>
                <c:pt idx="247">
                  <c:v>43.22</c:v>
                </c:pt>
                <c:pt idx="248">
                  <c:v>44.935</c:v>
                </c:pt>
                <c:pt idx="249">
                  <c:v>46.875</c:v>
                </c:pt>
                <c:pt idx="250">
                  <c:v>49.005</c:v>
                </c:pt>
                <c:pt idx="251">
                  <c:v>50.99</c:v>
                </c:pt>
                <c:pt idx="252">
                  <c:v>52.52</c:v>
                </c:pt>
                <c:pt idx="253">
                  <c:v>53.01</c:v>
                </c:pt>
                <c:pt idx="254">
                  <c:v>51.54</c:v>
                </c:pt>
                <c:pt idx="255">
                  <c:v>50.035</c:v>
                </c:pt>
                <c:pt idx="256">
                  <c:v>48.025</c:v>
                </c:pt>
                <c:pt idx="257">
                  <c:v>46.37</c:v>
                </c:pt>
                <c:pt idx="258">
                  <c:v>45.21</c:v>
                </c:pt>
                <c:pt idx="259">
                  <c:v>46.04</c:v>
                </c:pt>
                <c:pt idx="260">
                  <c:v>48.01</c:v>
                </c:pt>
                <c:pt idx="261">
                  <c:v>50.43</c:v>
                </c:pt>
                <c:pt idx="262">
                  <c:v>53.17</c:v>
                </c:pt>
                <c:pt idx="263">
                  <c:v>54.885</c:v>
                </c:pt>
                <c:pt idx="264">
                  <c:v>56.02</c:v>
                </c:pt>
                <c:pt idx="265">
                  <c:v>55.89</c:v>
                </c:pt>
                <c:pt idx="266">
                  <c:v>54.365</c:v>
                </c:pt>
                <c:pt idx="267">
                  <c:v>52.835</c:v>
                </c:pt>
                <c:pt idx="268">
                  <c:v>50.87</c:v>
                </c:pt>
                <c:pt idx="269">
                  <c:v>49.03</c:v>
                </c:pt>
                <c:pt idx="270">
                  <c:v>47.875</c:v>
                </c:pt>
                <c:pt idx="271">
                  <c:v>48.76</c:v>
                </c:pt>
                <c:pt idx="272">
                  <c:v>51.17</c:v>
                </c:pt>
                <c:pt idx="273">
                  <c:v>53.73</c:v>
                </c:pt>
                <c:pt idx="274">
                  <c:v>56.165</c:v>
                </c:pt>
                <c:pt idx="275">
                  <c:v>58.04</c:v>
                </c:pt>
                <c:pt idx="276">
                  <c:v>58.325</c:v>
                </c:pt>
                <c:pt idx="277">
                  <c:v>57.86</c:v>
                </c:pt>
                <c:pt idx="278">
                  <c:v>56.385</c:v>
                </c:pt>
                <c:pt idx="279">
                  <c:v>54.67</c:v>
                </c:pt>
                <c:pt idx="280">
                  <c:v>52.51</c:v>
                </c:pt>
                <c:pt idx="281">
                  <c:v>50.53</c:v>
                </c:pt>
                <c:pt idx="282">
                  <c:v>49.535</c:v>
                </c:pt>
                <c:pt idx="283">
                  <c:v>50.07</c:v>
                </c:pt>
                <c:pt idx="284">
                  <c:v>52.29</c:v>
                </c:pt>
                <c:pt idx="285">
                  <c:v>54.81</c:v>
                </c:pt>
                <c:pt idx="286">
                  <c:v>56.875</c:v>
                </c:pt>
                <c:pt idx="287">
                  <c:v>58.42</c:v>
                </c:pt>
                <c:pt idx="288">
                  <c:v>57.23</c:v>
                </c:pt>
                <c:pt idx="289">
                  <c:v>55.77</c:v>
                </c:pt>
                <c:pt idx="290">
                  <c:v>53.535</c:v>
                </c:pt>
                <c:pt idx="291">
                  <c:v>51.375</c:v>
                </c:pt>
                <c:pt idx="292">
                  <c:v>49.19</c:v>
                </c:pt>
                <c:pt idx="293">
                  <c:v>47.16</c:v>
                </c:pt>
                <c:pt idx="294">
                  <c:v>46.02</c:v>
                </c:pt>
                <c:pt idx="295">
                  <c:v>46.63</c:v>
                </c:pt>
                <c:pt idx="296">
                  <c:v>48.185</c:v>
                </c:pt>
                <c:pt idx="297">
                  <c:v>50.225</c:v>
                </c:pt>
                <c:pt idx="298">
                  <c:v>52.16</c:v>
                </c:pt>
                <c:pt idx="299">
                  <c:v>53.67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分析!$A$5</c:f>
              <c:strCache>
                <c:ptCount val="1"/>
                <c:pt idx="0">
                  <c:v>水分子浓度乘以10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分析!$B$1:$KO$1</c:f>
              <c:strCache>
                <c:ptCount val="300"/>
                <c:pt idx="0">
                  <c:v>2001/1/1</c:v>
                </c:pt>
                <c:pt idx="1">
                  <c:v>2001/2/1</c:v>
                </c:pt>
                <c:pt idx="2">
                  <c:v>2001/3/1</c:v>
                </c:pt>
                <c:pt idx="3">
                  <c:v>2001/4/1</c:v>
                </c:pt>
                <c:pt idx="4">
                  <c:v>2001/5/1</c:v>
                </c:pt>
                <c:pt idx="5">
                  <c:v>2001/6/1</c:v>
                </c:pt>
                <c:pt idx="6">
                  <c:v>2001/7/1</c:v>
                </c:pt>
                <c:pt idx="7">
                  <c:v>2001/8/1</c:v>
                </c:pt>
                <c:pt idx="8">
                  <c:v>2001/9/1</c:v>
                </c:pt>
                <c:pt idx="9">
                  <c:v>2001/10/1</c:v>
                </c:pt>
                <c:pt idx="10">
                  <c:v>2001/11/1</c:v>
                </c:pt>
                <c:pt idx="11">
                  <c:v>2001/12/1</c:v>
                </c:pt>
                <c:pt idx="12">
                  <c:v>2002/1/1</c:v>
                </c:pt>
                <c:pt idx="13">
                  <c:v>2002/2/1</c:v>
                </c:pt>
                <c:pt idx="14">
                  <c:v>2002/3/1</c:v>
                </c:pt>
                <c:pt idx="15">
                  <c:v>2002/4/1</c:v>
                </c:pt>
                <c:pt idx="16">
                  <c:v>2002/5/1</c:v>
                </c:pt>
                <c:pt idx="17">
                  <c:v>2002/6/1</c:v>
                </c:pt>
                <c:pt idx="18">
                  <c:v>2002/7/1</c:v>
                </c:pt>
                <c:pt idx="19">
                  <c:v>2002/8/1</c:v>
                </c:pt>
                <c:pt idx="20">
                  <c:v>2002/9/1</c:v>
                </c:pt>
                <c:pt idx="21">
                  <c:v>2002/10/1</c:v>
                </c:pt>
                <c:pt idx="22">
                  <c:v>2002/11/1</c:v>
                </c:pt>
                <c:pt idx="23">
                  <c:v>2002/12/1</c:v>
                </c:pt>
                <c:pt idx="24">
                  <c:v>2003/1/1</c:v>
                </c:pt>
                <c:pt idx="25">
                  <c:v>2003/2/1</c:v>
                </c:pt>
                <c:pt idx="26">
                  <c:v>2003/3/1</c:v>
                </c:pt>
                <c:pt idx="27">
                  <c:v>2003/4/1</c:v>
                </c:pt>
                <c:pt idx="28">
                  <c:v>2003/5/1</c:v>
                </c:pt>
                <c:pt idx="29">
                  <c:v>2003/6/1</c:v>
                </c:pt>
                <c:pt idx="30">
                  <c:v>2003/7/1</c:v>
                </c:pt>
                <c:pt idx="31">
                  <c:v>2003/8/1</c:v>
                </c:pt>
                <c:pt idx="32">
                  <c:v>2003/9/1</c:v>
                </c:pt>
                <c:pt idx="33">
                  <c:v>2003/10/1</c:v>
                </c:pt>
                <c:pt idx="34">
                  <c:v>2003/11/1</c:v>
                </c:pt>
                <c:pt idx="35">
                  <c:v>2003/12/1</c:v>
                </c:pt>
                <c:pt idx="36">
                  <c:v>2004/1/1</c:v>
                </c:pt>
                <c:pt idx="37">
                  <c:v>2004/2/1</c:v>
                </c:pt>
                <c:pt idx="38">
                  <c:v>2004/3/1</c:v>
                </c:pt>
                <c:pt idx="39">
                  <c:v>2004/4/1</c:v>
                </c:pt>
                <c:pt idx="40">
                  <c:v>2004/5/1</c:v>
                </c:pt>
                <c:pt idx="41">
                  <c:v>2004/6/1</c:v>
                </c:pt>
                <c:pt idx="42">
                  <c:v>2004/7/1</c:v>
                </c:pt>
                <c:pt idx="43">
                  <c:v>2004/8/1</c:v>
                </c:pt>
                <c:pt idx="44">
                  <c:v>2004/9/1</c:v>
                </c:pt>
                <c:pt idx="45">
                  <c:v>2004/10/1</c:v>
                </c:pt>
                <c:pt idx="46">
                  <c:v>2004/11/1</c:v>
                </c:pt>
                <c:pt idx="47">
                  <c:v>2004/12/1</c:v>
                </c:pt>
                <c:pt idx="48">
                  <c:v>2005/1/1</c:v>
                </c:pt>
                <c:pt idx="49">
                  <c:v>2005/2/1</c:v>
                </c:pt>
                <c:pt idx="50">
                  <c:v>2005/3/1</c:v>
                </c:pt>
                <c:pt idx="51">
                  <c:v>2005/4/1</c:v>
                </c:pt>
                <c:pt idx="52">
                  <c:v>2005/5/1</c:v>
                </c:pt>
                <c:pt idx="53">
                  <c:v>2005/6/1</c:v>
                </c:pt>
                <c:pt idx="54">
                  <c:v>2005/7/1</c:v>
                </c:pt>
                <c:pt idx="55">
                  <c:v>2005/8/1</c:v>
                </c:pt>
                <c:pt idx="56">
                  <c:v>2005/9/1</c:v>
                </c:pt>
                <c:pt idx="57">
                  <c:v>2005/10/1</c:v>
                </c:pt>
                <c:pt idx="58">
                  <c:v>2005/11/1</c:v>
                </c:pt>
                <c:pt idx="59">
                  <c:v>2005/12/1</c:v>
                </c:pt>
                <c:pt idx="60">
                  <c:v>2006/1/1</c:v>
                </c:pt>
                <c:pt idx="61">
                  <c:v>2006/2/1</c:v>
                </c:pt>
                <c:pt idx="62">
                  <c:v>2006/3/1</c:v>
                </c:pt>
                <c:pt idx="63">
                  <c:v>2006/4/1</c:v>
                </c:pt>
                <c:pt idx="64">
                  <c:v>2006/5/1</c:v>
                </c:pt>
                <c:pt idx="65">
                  <c:v>2006/6/1</c:v>
                </c:pt>
                <c:pt idx="66">
                  <c:v>2006/7/1</c:v>
                </c:pt>
                <c:pt idx="67">
                  <c:v>2006/8/1</c:v>
                </c:pt>
                <c:pt idx="68">
                  <c:v>2006/9/1</c:v>
                </c:pt>
                <c:pt idx="69">
                  <c:v>2006/10/1</c:v>
                </c:pt>
                <c:pt idx="70">
                  <c:v>2006/11/1</c:v>
                </c:pt>
                <c:pt idx="71">
                  <c:v>2006/12/1</c:v>
                </c:pt>
                <c:pt idx="72">
                  <c:v>2007/1/1</c:v>
                </c:pt>
                <c:pt idx="73">
                  <c:v>2007/2/1</c:v>
                </c:pt>
                <c:pt idx="74">
                  <c:v>2007/3/1</c:v>
                </c:pt>
                <c:pt idx="75">
                  <c:v>2007/4/1</c:v>
                </c:pt>
                <c:pt idx="76">
                  <c:v>2007/5/1</c:v>
                </c:pt>
                <c:pt idx="77">
                  <c:v>2007/6/1</c:v>
                </c:pt>
                <c:pt idx="78">
                  <c:v>2007/7/1</c:v>
                </c:pt>
                <c:pt idx="79">
                  <c:v>2007/8/1</c:v>
                </c:pt>
                <c:pt idx="80">
                  <c:v>2007/9/1</c:v>
                </c:pt>
                <c:pt idx="81">
                  <c:v>2007/10/1</c:v>
                </c:pt>
                <c:pt idx="82">
                  <c:v>2007/11/1</c:v>
                </c:pt>
                <c:pt idx="83">
                  <c:v>2007/12/1</c:v>
                </c:pt>
                <c:pt idx="84">
                  <c:v>2008/1/1</c:v>
                </c:pt>
                <c:pt idx="85">
                  <c:v>2008/2/1</c:v>
                </c:pt>
                <c:pt idx="86">
                  <c:v>2008/3/1</c:v>
                </c:pt>
                <c:pt idx="87">
                  <c:v>2008/4/1</c:v>
                </c:pt>
                <c:pt idx="88">
                  <c:v>2008/5/1</c:v>
                </c:pt>
                <c:pt idx="89">
                  <c:v>2008/6/1</c:v>
                </c:pt>
                <c:pt idx="90">
                  <c:v>2008/7/1</c:v>
                </c:pt>
                <c:pt idx="91">
                  <c:v>2008/8/1</c:v>
                </c:pt>
                <c:pt idx="92">
                  <c:v>2008/9/1</c:v>
                </c:pt>
                <c:pt idx="93">
                  <c:v>2008/10/1</c:v>
                </c:pt>
                <c:pt idx="94">
                  <c:v>2008/11/1</c:v>
                </c:pt>
                <c:pt idx="95">
                  <c:v>2008/12/1</c:v>
                </c:pt>
                <c:pt idx="96">
                  <c:v>2009/1/1</c:v>
                </c:pt>
                <c:pt idx="97">
                  <c:v>2009/2/1</c:v>
                </c:pt>
                <c:pt idx="98">
                  <c:v>2009/3/1</c:v>
                </c:pt>
                <c:pt idx="99">
                  <c:v>2009/4/1</c:v>
                </c:pt>
                <c:pt idx="100">
                  <c:v>2009/5/1</c:v>
                </c:pt>
                <c:pt idx="101">
                  <c:v>2009/6/1</c:v>
                </c:pt>
                <c:pt idx="102">
                  <c:v>2009/7/1</c:v>
                </c:pt>
                <c:pt idx="103">
                  <c:v>2009/8/1</c:v>
                </c:pt>
                <c:pt idx="104">
                  <c:v>2009/9/1</c:v>
                </c:pt>
                <c:pt idx="105">
                  <c:v>2009/10/1</c:v>
                </c:pt>
                <c:pt idx="106">
                  <c:v>2009/11/1</c:v>
                </c:pt>
                <c:pt idx="107">
                  <c:v>2009/12/1</c:v>
                </c:pt>
                <c:pt idx="108">
                  <c:v>2010/1/1</c:v>
                </c:pt>
                <c:pt idx="109">
                  <c:v>2010/2/1</c:v>
                </c:pt>
                <c:pt idx="110">
                  <c:v>2010/3/1</c:v>
                </c:pt>
                <c:pt idx="111">
                  <c:v>2010/4/1</c:v>
                </c:pt>
                <c:pt idx="112">
                  <c:v>2010/5/1</c:v>
                </c:pt>
                <c:pt idx="113">
                  <c:v>2010/6/1</c:v>
                </c:pt>
                <c:pt idx="114">
                  <c:v>2010/7/1</c:v>
                </c:pt>
                <c:pt idx="115">
                  <c:v>2010/8/1</c:v>
                </c:pt>
                <c:pt idx="116">
                  <c:v>2010/9/1</c:v>
                </c:pt>
                <c:pt idx="117">
                  <c:v>2010/10/1</c:v>
                </c:pt>
                <c:pt idx="118">
                  <c:v>2010/11/1</c:v>
                </c:pt>
                <c:pt idx="119">
                  <c:v>2010/12/1</c:v>
                </c:pt>
                <c:pt idx="120">
                  <c:v>2011/1/1</c:v>
                </c:pt>
                <c:pt idx="121">
                  <c:v>2011/2/1</c:v>
                </c:pt>
                <c:pt idx="122">
                  <c:v>2011/3/1</c:v>
                </c:pt>
                <c:pt idx="123">
                  <c:v>2011/4/1</c:v>
                </c:pt>
                <c:pt idx="124">
                  <c:v>2011/5/1</c:v>
                </c:pt>
                <c:pt idx="125">
                  <c:v>2011/6/1</c:v>
                </c:pt>
                <c:pt idx="126">
                  <c:v>2011/7/1</c:v>
                </c:pt>
                <c:pt idx="127">
                  <c:v>2011/8/1</c:v>
                </c:pt>
                <c:pt idx="128">
                  <c:v>2011/9/1</c:v>
                </c:pt>
                <c:pt idx="129">
                  <c:v>2011/10/1</c:v>
                </c:pt>
                <c:pt idx="130">
                  <c:v>2011/11/1</c:v>
                </c:pt>
                <c:pt idx="131">
                  <c:v>2011/12/1</c:v>
                </c:pt>
                <c:pt idx="132">
                  <c:v>2012/1/1</c:v>
                </c:pt>
                <c:pt idx="133">
                  <c:v>2012/2/1</c:v>
                </c:pt>
                <c:pt idx="134">
                  <c:v>2012/3/1</c:v>
                </c:pt>
                <c:pt idx="135">
                  <c:v>2012/4/1</c:v>
                </c:pt>
                <c:pt idx="136">
                  <c:v>2012/5/1</c:v>
                </c:pt>
                <c:pt idx="137">
                  <c:v>2012/6/1</c:v>
                </c:pt>
                <c:pt idx="138">
                  <c:v>2012/7/1</c:v>
                </c:pt>
                <c:pt idx="139">
                  <c:v>2012/8/1</c:v>
                </c:pt>
                <c:pt idx="140">
                  <c:v>2012/9/1</c:v>
                </c:pt>
                <c:pt idx="141">
                  <c:v>2012/10/1</c:v>
                </c:pt>
                <c:pt idx="142">
                  <c:v>2012/11/1</c:v>
                </c:pt>
                <c:pt idx="143">
                  <c:v>2012/12/1</c:v>
                </c:pt>
                <c:pt idx="144">
                  <c:v>2013/1/1</c:v>
                </c:pt>
                <c:pt idx="145">
                  <c:v>2013/2/1</c:v>
                </c:pt>
                <c:pt idx="146">
                  <c:v>2013/3/1</c:v>
                </c:pt>
                <c:pt idx="147">
                  <c:v>2013/4/1</c:v>
                </c:pt>
                <c:pt idx="148">
                  <c:v>2013/5/1</c:v>
                </c:pt>
                <c:pt idx="149">
                  <c:v>2013/6/1</c:v>
                </c:pt>
                <c:pt idx="150">
                  <c:v>2013/7/1</c:v>
                </c:pt>
                <c:pt idx="151">
                  <c:v>2013/8/1</c:v>
                </c:pt>
                <c:pt idx="152">
                  <c:v>2013/9/1</c:v>
                </c:pt>
                <c:pt idx="153">
                  <c:v>2013/10/1</c:v>
                </c:pt>
                <c:pt idx="154">
                  <c:v>2013/11/1</c:v>
                </c:pt>
                <c:pt idx="155">
                  <c:v>2013/12/1</c:v>
                </c:pt>
                <c:pt idx="156">
                  <c:v>2014/1/1</c:v>
                </c:pt>
                <c:pt idx="157">
                  <c:v>2014/2/1</c:v>
                </c:pt>
                <c:pt idx="158">
                  <c:v>2014/3/1</c:v>
                </c:pt>
                <c:pt idx="159">
                  <c:v>2014/4/1</c:v>
                </c:pt>
                <c:pt idx="160">
                  <c:v>2014/5/1</c:v>
                </c:pt>
                <c:pt idx="161">
                  <c:v>2014/6/1</c:v>
                </c:pt>
                <c:pt idx="162">
                  <c:v>2014/7/1</c:v>
                </c:pt>
                <c:pt idx="163">
                  <c:v>2014/8/1</c:v>
                </c:pt>
                <c:pt idx="164">
                  <c:v>2014/9/1</c:v>
                </c:pt>
                <c:pt idx="165">
                  <c:v>2014/10/1</c:v>
                </c:pt>
                <c:pt idx="166">
                  <c:v>2014/11/1</c:v>
                </c:pt>
                <c:pt idx="167">
                  <c:v>2014/12/1</c:v>
                </c:pt>
                <c:pt idx="168">
                  <c:v>2015/1/1</c:v>
                </c:pt>
                <c:pt idx="169">
                  <c:v>2015/2/1</c:v>
                </c:pt>
                <c:pt idx="170">
                  <c:v>2015/3/1</c:v>
                </c:pt>
                <c:pt idx="171">
                  <c:v>2015/4/1</c:v>
                </c:pt>
                <c:pt idx="172">
                  <c:v>2015/5/1</c:v>
                </c:pt>
                <c:pt idx="173">
                  <c:v>2015/6/1</c:v>
                </c:pt>
                <c:pt idx="174">
                  <c:v>2015/7/1</c:v>
                </c:pt>
                <c:pt idx="175">
                  <c:v>2015/8/1</c:v>
                </c:pt>
                <c:pt idx="176">
                  <c:v>2015/9/1</c:v>
                </c:pt>
                <c:pt idx="177">
                  <c:v>2015/10/1</c:v>
                </c:pt>
                <c:pt idx="178">
                  <c:v>2015/11/1</c:v>
                </c:pt>
                <c:pt idx="179">
                  <c:v>2015/12/1</c:v>
                </c:pt>
                <c:pt idx="180">
                  <c:v>2016/1/1</c:v>
                </c:pt>
                <c:pt idx="181">
                  <c:v>2016/2/1</c:v>
                </c:pt>
                <c:pt idx="182">
                  <c:v>2016/3/1</c:v>
                </c:pt>
                <c:pt idx="183">
                  <c:v>2016/4/1</c:v>
                </c:pt>
                <c:pt idx="184">
                  <c:v>2016/5/1</c:v>
                </c:pt>
                <c:pt idx="185">
                  <c:v>2016/6/1</c:v>
                </c:pt>
                <c:pt idx="186">
                  <c:v>2016/7/1</c:v>
                </c:pt>
                <c:pt idx="187">
                  <c:v>2016/8/1</c:v>
                </c:pt>
                <c:pt idx="188">
                  <c:v>2016/9/1</c:v>
                </c:pt>
                <c:pt idx="189">
                  <c:v>2016/10/1</c:v>
                </c:pt>
                <c:pt idx="190">
                  <c:v>2016/11/1</c:v>
                </c:pt>
                <c:pt idx="191">
                  <c:v>2016/12/1</c:v>
                </c:pt>
                <c:pt idx="192">
                  <c:v>2017/1/1</c:v>
                </c:pt>
                <c:pt idx="193">
                  <c:v>2017/2/1</c:v>
                </c:pt>
                <c:pt idx="194">
                  <c:v>2017/3/1</c:v>
                </c:pt>
                <c:pt idx="195">
                  <c:v>2017/4/1</c:v>
                </c:pt>
                <c:pt idx="196">
                  <c:v>2017/5/1</c:v>
                </c:pt>
                <c:pt idx="197">
                  <c:v>2017/6/1</c:v>
                </c:pt>
                <c:pt idx="198">
                  <c:v>2017/7/1</c:v>
                </c:pt>
                <c:pt idx="199">
                  <c:v>2017/8/1</c:v>
                </c:pt>
                <c:pt idx="200">
                  <c:v>2017/9/1</c:v>
                </c:pt>
                <c:pt idx="201">
                  <c:v>2017/10/1</c:v>
                </c:pt>
                <c:pt idx="202">
                  <c:v>2017/11/1</c:v>
                </c:pt>
                <c:pt idx="203">
                  <c:v>2017/12/1</c:v>
                </c:pt>
                <c:pt idx="204">
                  <c:v>2018/1/1</c:v>
                </c:pt>
                <c:pt idx="205">
                  <c:v>2018/2/1</c:v>
                </c:pt>
                <c:pt idx="206">
                  <c:v>2018/3/1</c:v>
                </c:pt>
                <c:pt idx="207">
                  <c:v>2018/4/1</c:v>
                </c:pt>
                <c:pt idx="208">
                  <c:v>2018/5/1</c:v>
                </c:pt>
                <c:pt idx="209">
                  <c:v>2018/6/1</c:v>
                </c:pt>
                <c:pt idx="210">
                  <c:v>2018/7/1</c:v>
                </c:pt>
                <c:pt idx="211">
                  <c:v>2018/8/1</c:v>
                </c:pt>
                <c:pt idx="212">
                  <c:v>2018/9/1</c:v>
                </c:pt>
                <c:pt idx="213">
                  <c:v>2018/10/1</c:v>
                </c:pt>
                <c:pt idx="214">
                  <c:v>2018/11/1</c:v>
                </c:pt>
                <c:pt idx="215">
                  <c:v>2018/12/1</c:v>
                </c:pt>
                <c:pt idx="216">
                  <c:v>2019/1/1</c:v>
                </c:pt>
                <c:pt idx="217">
                  <c:v>2019/2/1</c:v>
                </c:pt>
                <c:pt idx="218">
                  <c:v>2019/3/1</c:v>
                </c:pt>
                <c:pt idx="219">
                  <c:v>2019/4/1</c:v>
                </c:pt>
                <c:pt idx="220">
                  <c:v>2019/5/1</c:v>
                </c:pt>
                <c:pt idx="221">
                  <c:v>2019/6/1</c:v>
                </c:pt>
                <c:pt idx="222">
                  <c:v>2019/7/1</c:v>
                </c:pt>
                <c:pt idx="223">
                  <c:v>2019/8/1</c:v>
                </c:pt>
                <c:pt idx="224">
                  <c:v>2019/9/1</c:v>
                </c:pt>
                <c:pt idx="225">
                  <c:v>2019/10/1</c:v>
                </c:pt>
                <c:pt idx="226">
                  <c:v>2019/11/1</c:v>
                </c:pt>
                <c:pt idx="227">
                  <c:v>2019/12/1</c:v>
                </c:pt>
                <c:pt idx="228">
                  <c:v>2020/1/1</c:v>
                </c:pt>
                <c:pt idx="229">
                  <c:v>2020/2/1</c:v>
                </c:pt>
                <c:pt idx="230">
                  <c:v>2020/3/1</c:v>
                </c:pt>
                <c:pt idx="231">
                  <c:v>2020/4/1</c:v>
                </c:pt>
                <c:pt idx="232">
                  <c:v>2020/5/1</c:v>
                </c:pt>
                <c:pt idx="233">
                  <c:v>2020/6/1</c:v>
                </c:pt>
                <c:pt idx="234">
                  <c:v>2020/7/1</c:v>
                </c:pt>
                <c:pt idx="235">
                  <c:v>2020/8/1</c:v>
                </c:pt>
                <c:pt idx="236">
                  <c:v>2020/9/1</c:v>
                </c:pt>
                <c:pt idx="237">
                  <c:v>2020/10/1</c:v>
                </c:pt>
                <c:pt idx="238">
                  <c:v>2020/11/1</c:v>
                </c:pt>
                <c:pt idx="239">
                  <c:v>2020/12/1</c:v>
                </c:pt>
                <c:pt idx="240">
                  <c:v>2021/1/1</c:v>
                </c:pt>
                <c:pt idx="241">
                  <c:v>2021/2/1</c:v>
                </c:pt>
                <c:pt idx="242">
                  <c:v>2021/3/1</c:v>
                </c:pt>
                <c:pt idx="243">
                  <c:v>2021/4/1</c:v>
                </c:pt>
                <c:pt idx="244">
                  <c:v>2021/5/1</c:v>
                </c:pt>
                <c:pt idx="245">
                  <c:v>2021/6/1</c:v>
                </c:pt>
                <c:pt idx="246">
                  <c:v>2021/7/1</c:v>
                </c:pt>
                <c:pt idx="247">
                  <c:v>2021/8/1</c:v>
                </c:pt>
                <c:pt idx="248">
                  <c:v>2021/9/1</c:v>
                </c:pt>
                <c:pt idx="249">
                  <c:v>2021/10/1</c:v>
                </c:pt>
                <c:pt idx="250">
                  <c:v>2021/11/1</c:v>
                </c:pt>
                <c:pt idx="251">
                  <c:v>2021/12/1</c:v>
                </c:pt>
                <c:pt idx="252">
                  <c:v>2022/1/1</c:v>
                </c:pt>
                <c:pt idx="253">
                  <c:v>2022/2/1</c:v>
                </c:pt>
                <c:pt idx="254">
                  <c:v>2022/3/1</c:v>
                </c:pt>
                <c:pt idx="255">
                  <c:v>2022/4/1</c:v>
                </c:pt>
                <c:pt idx="256">
                  <c:v>2022/5/1</c:v>
                </c:pt>
                <c:pt idx="257">
                  <c:v>2022/6/1</c:v>
                </c:pt>
                <c:pt idx="258">
                  <c:v>2022/7/1</c:v>
                </c:pt>
                <c:pt idx="259">
                  <c:v>2022/8/1</c:v>
                </c:pt>
                <c:pt idx="260">
                  <c:v>2022/9/1</c:v>
                </c:pt>
                <c:pt idx="261">
                  <c:v>2022/10/1</c:v>
                </c:pt>
                <c:pt idx="262">
                  <c:v>2022/11/1</c:v>
                </c:pt>
                <c:pt idx="263">
                  <c:v>2022/12/1</c:v>
                </c:pt>
                <c:pt idx="264">
                  <c:v>2023/1/1</c:v>
                </c:pt>
                <c:pt idx="265">
                  <c:v>2023/2/1</c:v>
                </c:pt>
                <c:pt idx="266">
                  <c:v>2023/3/1</c:v>
                </c:pt>
                <c:pt idx="267">
                  <c:v>2023/4/1</c:v>
                </c:pt>
                <c:pt idx="268">
                  <c:v>2023/5/1</c:v>
                </c:pt>
                <c:pt idx="269">
                  <c:v>2023/6/1</c:v>
                </c:pt>
                <c:pt idx="270">
                  <c:v>2023/7/1</c:v>
                </c:pt>
                <c:pt idx="271">
                  <c:v>2023/8/1</c:v>
                </c:pt>
                <c:pt idx="272">
                  <c:v>2023/9/1</c:v>
                </c:pt>
                <c:pt idx="273">
                  <c:v>2023/10/1</c:v>
                </c:pt>
                <c:pt idx="274">
                  <c:v>2023/11/1</c:v>
                </c:pt>
                <c:pt idx="275">
                  <c:v>2023/12/1</c:v>
                </c:pt>
                <c:pt idx="276">
                  <c:v>2024/1/1</c:v>
                </c:pt>
                <c:pt idx="277">
                  <c:v>2024/2/1</c:v>
                </c:pt>
                <c:pt idx="278">
                  <c:v>2024/3/1</c:v>
                </c:pt>
                <c:pt idx="279">
                  <c:v>2024/4/1</c:v>
                </c:pt>
                <c:pt idx="280">
                  <c:v>2024/5/1</c:v>
                </c:pt>
                <c:pt idx="281">
                  <c:v>2024/6/1</c:v>
                </c:pt>
                <c:pt idx="282">
                  <c:v>2024/7/1</c:v>
                </c:pt>
                <c:pt idx="283">
                  <c:v>2024/8/1</c:v>
                </c:pt>
                <c:pt idx="284">
                  <c:v>2024/9/1</c:v>
                </c:pt>
                <c:pt idx="285">
                  <c:v>2024/10/1</c:v>
                </c:pt>
                <c:pt idx="286">
                  <c:v>2024/11/1</c:v>
                </c:pt>
                <c:pt idx="287">
                  <c:v>2024/12/1</c:v>
                </c:pt>
                <c:pt idx="288">
                  <c:v>2025/1/1</c:v>
                </c:pt>
                <c:pt idx="289">
                  <c:v>2025/2/1</c:v>
                </c:pt>
                <c:pt idx="290">
                  <c:v>2025/3/1</c:v>
                </c:pt>
                <c:pt idx="291">
                  <c:v>2025/4/1</c:v>
                </c:pt>
                <c:pt idx="292">
                  <c:v>2025/5/1</c:v>
                </c:pt>
                <c:pt idx="293">
                  <c:v>2025/6/1</c:v>
                </c:pt>
                <c:pt idx="294">
                  <c:v>2025/7/1</c:v>
                </c:pt>
                <c:pt idx="295">
                  <c:v>2025/8/1</c:v>
                </c:pt>
                <c:pt idx="296">
                  <c:v>2025/9/1</c:v>
                </c:pt>
                <c:pt idx="297">
                  <c:v>2025/10/1</c:v>
                </c:pt>
                <c:pt idx="298">
                  <c:v>2025/11/1</c:v>
                </c:pt>
                <c:pt idx="299">
                  <c:v>2025/12/1</c:v>
                </c:pt>
              </c:strCache>
            </c:strRef>
          </c:cat>
          <c:val>
            <c:numRef>
              <c:f>分析!$B$5:$KO$5</c:f>
              <c:numCache>
                <c:formatCode>General</c:formatCode>
                <c:ptCount val="300"/>
                <c:pt idx="0">
                  <c:v>98.5</c:v>
                </c:pt>
                <c:pt idx="1">
                  <c:v>99.2</c:v>
                </c:pt>
                <c:pt idx="2">
                  <c:v>100.5</c:v>
                </c:pt>
                <c:pt idx="3">
                  <c:v>101.8</c:v>
                </c:pt>
                <c:pt idx="4">
                  <c:v>103.5</c:v>
                </c:pt>
                <c:pt idx="5">
                  <c:v>105.2</c:v>
                </c:pt>
                <c:pt idx="6">
                  <c:v>106.8</c:v>
                </c:pt>
                <c:pt idx="7">
                  <c:v>107.2</c:v>
                </c:pt>
                <c:pt idx="8">
                  <c:v>104.5</c:v>
                </c:pt>
                <c:pt idx="9">
                  <c:v>101.2</c:v>
                </c:pt>
                <c:pt idx="10">
                  <c:v>99.8</c:v>
                </c:pt>
                <c:pt idx="11">
                  <c:v>98.8</c:v>
                </c:pt>
                <c:pt idx="12">
                  <c:v>98.7</c:v>
                </c:pt>
                <c:pt idx="13">
                  <c:v>99.4</c:v>
                </c:pt>
                <c:pt idx="14">
                  <c:v>100.8</c:v>
                </c:pt>
                <c:pt idx="15">
                  <c:v>102.1</c:v>
                </c:pt>
                <c:pt idx="16">
                  <c:v>103.8</c:v>
                </c:pt>
                <c:pt idx="17">
                  <c:v>105.5</c:v>
                </c:pt>
                <c:pt idx="18">
                  <c:v>107.1</c:v>
                </c:pt>
                <c:pt idx="19">
                  <c:v>107.5</c:v>
                </c:pt>
                <c:pt idx="20">
                  <c:v>104.8</c:v>
                </c:pt>
                <c:pt idx="21">
                  <c:v>101.5</c:v>
                </c:pt>
                <c:pt idx="22">
                  <c:v>100.1</c:v>
                </c:pt>
                <c:pt idx="23">
                  <c:v>99.1</c:v>
                </c:pt>
                <c:pt idx="24">
                  <c:v>99.1</c:v>
                </c:pt>
                <c:pt idx="25">
                  <c:v>100.2</c:v>
                </c:pt>
                <c:pt idx="26">
                  <c:v>101.5</c:v>
                </c:pt>
                <c:pt idx="27">
                  <c:v>102.8</c:v>
                </c:pt>
                <c:pt idx="28">
                  <c:v>104.6</c:v>
                </c:pt>
                <c:pt idx="29">
                  <c:v>106.3</c:v>
                </c:pt>
                <c:pt idx="30">
                  <c:v>107.9</c:v>
                </c:pt>
                <c:pt idx="31">
                  <c:v>108.4</c:v>
                </c:pt>
                <c:pt idx="32">
                  <c:v>105.5</c:v>
                </c:pt>
                <c:pt idx="33">
                  <c:v>102.1</c:v>
                </c:pt>
                <c:pt idx="34">
                  <c:v>100.5</c:v>
                </c:pt>
                <c:pt idx="35">
                  <c:v>99.4</c:v>
                </c:pt>
                <c:pt idx="36">
                  <c:v>99.2</c:v>
                </c:pt>
                <c:pt idx="37">
                  <c:v>99.8</c:v>
                </c:pt>
                <c:pt idx="38">
                  <c:v>100.9</c:v>
                </c:pt>
                <c:pt idx="39">
                  <c:v>102.4</c:v>
                </c:pt>
                <c:pt idx="40">
                  <c:v>104.2</c:v>
                </c:pt>
                <c:pt idx="41">
                  <c:v>105.8</c:v>
                </c:pt>
                <c:pt idx="42">
                  <c:v>107.4</c:v>
                </c:pt>
                <c:pt idx="43">
                  <c:v>107.8</c:v>
                </c:pt>
                <c:pt idx="44">
                  <c:v>105.1</c:v>
                </c:pt>
                <c:pt idx="45">
                  <c:v>101.8</c:v>
                </c:pt>
                <c:pt idx="46">
                  <c:v>100.3</c:v>
                </c:pt>
                <c:pt idx="47">
                  <c:v>99.3</c:v>
                </c:pt>
                <c:pt idx="48">
                  <c:v>99.5</c:v>
                </c:pt>
                <c:pt idx="49">
                  <c:v>100.4</c:v>
                </c:pt>
                <c:pt idx="50">
                  <c:v>101.5</c:v>
                </c:pt>
                <c:pt idx="51">
                  <c:v>103.2</c:v>
                </c:pt>
                <c:pt idx="52">
                  <c:v>105.1</c:v>
                </c:pt>
                <c:pt idx="53">
                  <c:v>106.8</c:v>
                </c:pt>
                <c:pt idx="54">
                  <c:v>108.2</c:v>
                </c:pt>
                <c:pt idx="55">
                  <c:v>108.7</c:v>
                </c:pt>
                <c:pt idx="56">
                  <c:v>105.8</c:v>
                </c:pt>
                <c:pt idx="57">
                  <c:v>102.5</c:v>
                </c:pt>
                <c:pt idx="58">
                  <c:v>101.1</c:v>
                </c:pt>
                <c:pt idx="59">
                  <c:v>100.2</c:v>
                </c:pt>
                <c:pt idx="60">
                  <c:v>100.5</c:v>
                </c:pt>
                <c:pt idx="61">
                  <c:v>101.2</c:v>
                </c:pt>
                <c:pt idx="62">
                  <c:v>102.1</c:v>
                </c:pt>
                <c:pt idx="63">
                  <c:v>103.8</c:v>
                </c:pt>
                <c:pt idx="64">
                  <c:v>105.5</c:v>
                </c:pt>
                <c:pt idx="65">
                  <c:v>107.2</c:v>
                </c:pt>
                <c:pt idx="66">
                  <c:v>108.8</c:v>
                </c:pt>
                <c:pt idx="67">
                  <c:v>109.4</c:v>
                </c:pt>
                <c:pt idx="68">
                  <c:v>106.5</c:v>
                </c:pt>
                <c:pt idx="69">
                  <c:v>103.2</c:v>
                </c:pt>
                <c:pt idx="70">
                  <c:v>101.8</c:v>
                </c:pt>
                <c:pt idx="71">
                  <c:v>100.8</c:v>
                </c:pt>
                <c:pt idx="72">
                  <c:v>101.2</c:v>
                </c:pt>
                <c:pt idx="73">
                  <c:v>101.8</c:v>
                </c:pt>
                <c:pt idx="74">
                  <c:v>102.8</c:v>
                </c:pt>
                <c:pt idx="75">
                  <c:v>104.5</c:v>
                </c:pt>
                <c:pt idx="76">
                  <c:v>106.2</c:v>
                </c:pt>
                <c:pt idx="77">
                  <c:v>108.1</c:v>
                </c:pt>
                <c:pt idx="78">
                  <c:v>109.6</c:v>
                </c:pt>
                <c:pt idx="79">
                  <c:v>110.2</c:v>
                </c:pt>
                <c:pt idx="80">
                  <c:v>107.4</c:v>
                </c:pt>
                <c:pt idx="81">
                  <c:v>104.1</c:v>
                </c:pt>
                <c:pt idx="82">
                  <c:v>102.5</c:v>
                </c:pt>
                <c:pt idx="83">
                  <c:v>101.5</c:v>
                </c:pt>
                <c:pt idx="84">
                  <c:v>100.8</c:v>
                </c:pt>
                <c:pt idx="85">
                  <c:v>101.4</c:v>
                </c:pt>
                <c:pt idx="86">
                  <c:v>102.5</c:v>
                </c:pt>
                <c:pt idx="87">
                  <c:v>104.2</c:v>
                </c:pt>
                <c:pt idx="88">
                  <c:v>106.1</c:v>
                </c:pt>
                <c:pt idx="89">
                  <c:v>107.8</c:v>
                </c:pt>
                <c:pt idx="90">
                  <c:v>109.4</c:v>
                </c:pt>
                <c:pt idx="91">
                  <c:v>110.1</c:v>
                </c:pt>
                <c:pt idx="92">
                  <c:v>107.1</c:v>
                </c:pt>
                <c:pt idx="93">
                  <c:v>103.8</c:v>
                </c:pt>
                <c:pt idx="94">
                  <c:v>102.1</c:v>
                </c:pt>
                <c:pt idx="95">
                  <c:v>101.2</c:v>
                </c:pt>
                <c:pt idx="96">
                  <c:v>101.5</c:v>
                </c:pt>
                <c:pt idx="97">
                  <c:v>102.2</c:v>
                </c:pt>
                <c:pt idx="98">
                  <c:v>103.3</c:v>
                </c:pt>
                <c:pt idx="99">
                  <c:v>105.1</c:v>
                </c:pt>
                <c:pt idx="100">
                  <c:v>107.2</c:v>
                </c:pt>
                <c:pt idx="101">
                  <c:v>108.9</c:v>
                </c:pt>
                <c:pt idx="102">
                  <c:v>110.5</c:v>
                </c:pt>
                <c:pt idx="103">
                  <c:v>111.2</c:v>
                </c:pt>
                <c:pt idx="104">
                  <c:v>108.4</c:v>
                </c:pt>
                <c:pt idx="105">
                  <c:v>105.2</c:v>
                </c:pt>
                <c:pt idx="106">
                  <c:v>103.5</c:v>
                </c:pt>
                <c:pt idx="107">
                  <c:v>102.5</c:v>
                </c:pt>
                <c:pt idx="108">
                  <c:v>102.1</c:v>
                </c:pt>
                <c:pt idx="109">
                  <c:v>102.8</c:v>
                </c:pt>
                <c:pt idx="110">
                  <c:v>104.1</c:v>
                </c:pt>
                <c:pt idx="111">
                  <c:v>105.8</c:v>
                </c:pt>
                <c:pt idx="112">
                  <c:v>107.9</c:v>
                </c:pt>
                <c:pt idx="113">
                  <c:v>109.6</c:v>
                </c:pt>
                <c:pt idx="114">
                  <c:v>111.4</c:v>
                </c:pt>
                <c:pt idx="115">
                  <c:v>112.1</c:v>
                </c:pt>
                <c:pt idx="116">
                  <c:v>109.2</c:v>
                </c:pt>
                <c:pt idx="117">
                  <c:v>106.1</c:v>
                </c:pt>
                <c:pt idx="118">
                  <c:v>104.4</c:v>
                </c:pt>
                <c:pt idx="119">
                  <c:v>103.5</c:v>
                </c:pt>
                <c:pt idx="120">
                  <c:v>101.8</c:v>
                </c:pt>
                <c:pt idx="121">
                  <c:v>102.2</c:v>
                </c:pt>
                <c:pt idx="122">
                  <c:v>103.5</c:v>
                </c:pt>
                <c:pt idx="123">
                  <c:v>105.2</c:v>
                </c:pt>
                <c:pt idx="124">
                  <c:v>107.1</c:v>
                </c:pt>
                <c:pt idx="125">
                  <c:v>108.8</c:v>
                </c:pt>
                <c:pt idx="126">
                  <c:v>110.4</c:v>
                </c:pt>
                <c:pt idx="127">
                  <c:v>111</c:v>
                </c:pt>
                <c:pt idx="128">
                  <c:v>108.2</c:v>
                </c:pt>
                <c:pt idx="129">
                  <c:v>105.1</c:v>
                </c:pt>
                <c:pt idx="130">
                  <c:v>103.8</c:v>
                </c:pt>
                <c:pt idx="131">
                  <c:v>102.9</c:v>
                </c:pt>
                <c:pt idx="132">
                  <c:v>102.5</c:v>
                </c:pt>
                <c:pt idx="133">
                  <c:v>103.1</c:v>
                </c:pt>
                <c:pt idx="134">
                  <c:v>104.4</c:v>
                </c:pt>
                <c:pt idx="135">
                  <c:v>106.2</c:v>
                </c:pt>
                <c:pt idx="136">
                  <c:v>108.1</c:v>
                </c:pt>
                <c:pt idx="137">
                  <c:v>109.8</c:v>
                </c:pt>
                <c:pt idx="138">
                  <c:v>111.6</c:v>
                </c:pt>
                <c:pt idx="139">
                  <c:v>112.3</c:v>
                </c:pt>
                <c:pt idx="140">
                  <c:v>109.5</c:v>
                </c:pt>
                <c:pt idx="141">
                  <c:v>106.4</c:v>
                </c:pt>
                <c:pt idx="142">
                  <c:v>104.8</c:v>
                </c:pt>
                <c:pt idx="143">
                  <c:v>103.8</c:v>
                </c:pt>
                <c:pt idx="144">
                  <c:v>103.2</c:v>
                </c:pt>
                <c:pt idx="145">
                  <c:v>103.8</c:v>
                </c:pt>
                <c:pt idx="146">
                  <c:v>105.1</c:v>
                </c:pt>
                <c:pt idx="147">
                  <c:v>106.8</c:v>
                </c:pt>
                <c:pt idx="148">
                  <c:v>108.8</c:v>
                </c:pt>
                <c:pt idx="149">
                  <c:v>110.5</c:v>
                </c:pt>
                <c:pt idx="150">
                  <c:v>112.2</c:v>
                </c:pt>
                <c:pt idx="151">
                  <c:v>112.8</c:v>
                </c:pt>
                <c:pt idx="152">
                  <c:v>109.9</c:v>
                </c:pt>
                <c:pt idx="153">
                  <c:v>106.8</c:v>
                </c:pt>
                <c:pt idx="154">
                  <c:v>105.2</c:v>
                </c:pt>
                <c:pt idx="155">
                  <c:v>104.3</c:v>
                </c:pt>
                <c:pt idx="156">
                  <c:v>104.2</c:v>
                </c:pt>
                <c:pt idx="157">
                  <c:v>104.8</c:v>
                </c:pt>
                <c:pt idx="158">
                  <c:v>105.9</c:v>
                </c:pt>
                <c:pt idx="159">
                  <c:v>107.5</c:v>
                </c:pt>
                <c:pt idx="160">
                  <c:v>109.5</c:v>
                </c:pt>
                <c:pt idx="161">
                  <c:v>111.2</c:v>
                </c:pt>
                <c:pt idx="162">
                  <c:v>112.9</c:v>
                </c:pt>
                <c:pt idx="163">
                  <c:v>113.5</c:v>
                </c:pt>
                <c:pt idx="164">
                  <c:v>110.6</c:v>
                </c:pt>
                <c:pt idx="165">
                  <c:v>107.5</c:v>
                </c:pt>
                <c:pt idx="166">
                  <c:v>106.1</c:v>
                </c:pt>
                <c:pt idx="167">
                  <c:v>105.2</c:v>
                </c:pt>
                <c:pt idx="168">
                  <c:v>105.5</c:v>
                </c:pt>
                <c:pt idx="169">
                  <c:v>106.1</c:v>
                </c:pt>
                <c:pt idx="170">
                  <c:v>107.5</c:v>
                </c:pt>
                <c:pt idx="171">
                  <c:v>109.2</c:v>
                </c:pt>
                <c:pt idx="172">
                  <c:v>111.5</c:v>
                </c:pt>
                <c:pt idx="173">
                  <c:v>113.8</c:v>
                </c:pt>
                <c:pt idx="174">
                  <c:v>115.5</c:v>
                </c:pt>
                <c:pt idx="175">
                  <c:v>116.2</c:v>
                </c:pt>
                <c:pt idx="176">
                  <c:v>113.1</c:v>
                </c:pt>
                <c:pt idx="177">
                  <c:v>110.2</c:v>
                </c:pt>
                <c:pt idx="178">
                  <c:v>108.5</c:v>
                </c:pt>
                <c:pt idx="179">
                  <c:v>107.4</c:v>
                </c:pt>
                <c:pt idx="180">
                  <c:v>107.8</c:v>
                </c:pt>
                <c:pt idx="181">
                  <c:v>108.5</c:v>
                </c:pt>
                <c:pt idx="182">
                  <c:v>110.2</c:v>
                </c:pt>
                <c:pt idx="183">
                  <c:v>111.8</c:v>
                </c:pt>
                <c:pt idx="184">
                  <c:v>113.5</c:v>
                </c:pt>
                <c:pt idx="185">
                  <c:v>115.2</c:v>
                </c:pt>
                <c:pt idx="186">
                  <c:v>117.1</c:v>
                </c:pt>
                <c:pt idx="187">
                  <c:v>117.8</c:v>
                </c:pt>
                <c:pt idx="188">
                  <c:v>114.5</c:v>
                </c:pt>
                <c:pt idx="189">
                  <c:v>111.5</c:v>
                </c:pt>
                <c:pt idx="190">
                  <c:v>109.8</c:v>
                </c:pt>
                <c:pt idx="191">
                  <c:v>108.5</c:v>
                </c:pt>
                <c:pt idx="192">
                  <c:v>106.2</c:v>
                </c:pt>
                <c:pt idx="193">
                  <c:v>106.8</c:v>
                </c:pt>
                <c:pt idx="194">
                  <c:v>107.9</c:v>
                </c:pt>
                <c:pt idx="195">
                  <c:v>109.5</c:v>
                </c:pt>
                <c:pt idx="196">
                  <c:v>111.2</c:v>
                </c:pt>
                <c:pt idx="197">
                  <c:v>113.1</c:v>
                </c:pt>
                <c:pt idx="198">
                  <c:v>114.8</c:v>
                </c:pt>
                <c:pt idx="199">
                  <c:v>115.4</c:v>
                </c:pt>
                <c:pt idx="200">
                  <c:v>112.5</c:v>
                </c:pt>
                <c:pt idx="201">
                  <c:v>109.4</c:v>
                </c:pt>
                <c:pt idx="202">
                  <c:v>107.8</c:v>
                </c:pt>
                <c:pt idx="203">
                  <c:v>106.8</c:v>
                </c:pt>
                <c:pt idx="204">
                  <c:v>105.8</c:v>
                </c:pt>
                <c:pt idx="205">
                  <c:v>106.5</c:v>
                </c:pt>
                <c:pt idx="206">
                  <c:v>107.4</c:v>
                </c:pt>
                <c:pt idx="207">
                  <c:v>108.9</c:v>
                </c:pt>
                <c:pt idx="208">
                  <c:v>110.8</c:v>
                </c:pt>
                <c:pt idx="209">
                  <c:v>112.5</c:v>
                </c:pt>
                <c:pt idx="210">
                  <c:v>114.2</c:v>
                </c:pt>
                <c:pt idx="211">
                  <c:v>114.9</c:v>
                </c:pt>
                <c:pt idx="212">
                  <c:v>112.1</c:v>
                </c:pt>
                <c:pt idx="213">
                  <c:v>109.2</c:v>
                </c:pt>
                <c:pt idx="214">
                  <c:v>107.5</c:v>
                </c:pt>
                <c:pt idx="215">
                  <c:v>106.6</c:v>
                </c:pt>
                <c:pt idx="216">
                  <c:v>106.5</c:v>
                </c:pt>
                <c:pt idx="217">
                  <c:v>107.2</c:v>
                </c:pt>
                <c:pt idx="218">
                  <c:v>108.5</c:v>
                </c:pt>
                <c:pt idx="219">
                  <c:v>110.2</c:v>
                </c:pt>
                <c:pt idx="220">
                  <c:v>112.1</c:v>
                </c:pt>
                <c:pt idx="221">
                  <c:v>114.5</c:v>
                </c:pt>
                <c:pt idx="222">
                  <c:v>116.4</c:v>
                </c:pt>
                <c:pt idx="223">
                  <c:v>117.2</c:v>
                </c:pt>
                <c:pt idx="224">
                  <c:v>113.8</c:v>
                </c:pt>
                <c:pt idx="225">
                  <c:v>110.5</c:v>
                </c:pt>
                <c:pt idx="226">
                  <c:v>108.8</c:v>
                </c:pt>
                <c:pt idx="227">
                  <c:v>107.6</c:v>
                </c:pt>
                <c:pt idx="228">
                  <c:v>107.2</c:v>
                </c:pt>
                <c:pt idx="229">
                  <c:v>107.9</c:v>
                </c:pt>
                <c:pt idx="230">
                  <c:v>109.1</c:v>
                </c:pt>
                <c:pt idx="231">
                  <c:v>110.8</c:v>
                </c:pt>
                <c:pt idx="232">
                  <c:v>112.8</c:v>
                </c:pt>
                <c:pt idx="233">
                  <c:v>115.1</c:v>
                </c:pt>
                <c:pt idx="234">
                  <c:v>116.9</c:v>
                </c:pt>
                <c:pt idx="235">
                  <c:v>117.5</c:v>
                </c:pt>
                <c:pt idx="236">
                  <c:v>114.2</c:v>
                </c:pt>
                <c:pt idx="237">
                  <c:v>111.2</c:v>
                </c:pt>
                <c:pt idx="238">
                  <c:v>109.5</c:v>
                </c:pt>
                <c:pt idx="239">
                  <c:v>108.2</c:v>
                </c:pt>
                <c:pt idx="240">
                  <c:v>106.8</c:v>
                </c:pt>
                <c:pt idx="241">
                  <c:v>107.4</c:v>
                </c:pt>
                <c:pt idx="242">
                  <c:v>108.8</c:v>
                </c:pt>
                <c:pt idx="243">
                  <c:v>110.5</c:v>
                </c:pt>
                <c:pt idx="244">
                  <c:v>112.5</c:v>
                </c:pt>
                <c:pt idx="245">
                  <c:v>114.8</c:v>
                </c:pt>
                <c:pt idx="246">
                  <c:v>116.6</c:v>
                </c:pt>
                <c:pt idx="247">
                  <c:v>117.3</c:v>
                </c:pt>
                <c:pt idx="248">
                  <c:v>114.1</c:v>
                </c:pt>
                <c:pt idx="249">
                  <c:v>111.1</c:v>
                </c:pt>
                <c:pt idx="250">
                  <c:v>109.2</c:v>
                </c:pt>
                <c:pt idx="251">
                  <c:v>108.1</c:v>
                </c:pt>
                <c:pt idx="252">
                  <c:v>107.5</c:v>
                </c:pt>
                <c:pt idx="253">
                  <c:v>108.2</c:v>
                </c:pt>
                <c:pt idx="254">
                  <c:v>109.6</c:v>
                </c:pt>
                <c:pt idx="255">
                  <c:v>111.5</c:v>
                </c:pt>
                <c:pt idx="256">
                  <c:v>113.8</c:v>
                </c:pt>
                <c:pt idx="257">
                  <c:v>116.2</c:v>
                </c:pt>
                <c:pt idx="258">
                  <c:v>118.2</c:v>
                </c:pt>
                <c:pt idx="259">
                  <c:v>119.1</c:v>
                </c:pt>
                <c:pt idx="260">
                  <c:v>115.8</c:v>
                </c:pt>
                <c:pt idx="261">
                  <c:v>112.5</c:v>
                </c:pt>
                <c:pt idx="262">
                  <c:v>110.8</c:v>
                </c:pt>
                <c:pt idx="263">
                  <c:v>109.5</c:v>
                </c:pt>
                <c:pt idx="264">
                  <c:v>108.8</c:v>
                </c:pt>
                <c:pt idx="265">
                  <c:v>109.5</c:v>
                </c:pt>
                <c:pt idx="266">
                  <c:v>111.2</c:v>
                </c:pt>
                <c:pt idx="267">
                  <c:v>113.5</c:v>
                </c:pt>
                <c:pt idx="268">
                  <c:v>116.2</c:v>
                </c:pt>
                <c:pt idx="269">
                  <c:v>118.8</c:v>
                </c:pt>
                <c:pt idx="270">
                  <c:v>121.5</c:v>
                </c:pt>
                <c:pt idx="271">
                  <c:v>122.8</c:v>
                </c:pt>
                <c:pt idx="272">
                  <c:v>119.5</c:v>
                </c:pt>
                <c:pt idx="273">
                  <c:v>116.2</c:v>
                </c:pt>
                <c:pt idx="274">
                  <c:v>113.5</c:v>
                </c:pt>
                <c:pt idx="275">
                  <c:v>111.8</c:v>
                </c:pt>
                <c:pt idx="276">
                  <c:v>111.2</c:v>
                </c:pt>
                <c:pt idx="277">
                  <c:v>112.1</c:v>
                </c:pt>
                <c:pt idx="278">
                  <c:v>113.8</c:v>
                </c:pt>
                <c:pt idx="279">
                  <c:v>115.5</c:v>
                </c:pt>
                <c:pt idx="280">
                  <c:v>118.2</c:v>
                </c:pt>
                <c:pt idx="281">
                  <c:v>120.8</c:v>
                </c:pt>
                <c:pt idx="282">
                  <c:v>123.2</c:v>
                </c:pt>
                <c:pt idx="283">
                  <c:v>124.5</c:v>
                </c:pt>
                <c:pt idx="284">
                  <c:v>121.2</c:v>
                </c:pt>
                <c:pt idx="285">
                  <c:v>117.8</c:v>
                </c:pt>
                <c:pt idx="286">
                  <c:v>115.2</c:v>
                </c:pt>
                <c:pt idx="287">
                  <c:v>113.5</c:v>
                </c:pt>
                <c:pt idx="288">
                  <c:v>114.5</c:v>
                </c:pt>
                <c:pt idx="289">
                  <c:v>115.2</c:v>
                </c:pt>
                <c:pt idx="290">
                  <c:v>117.5</c:v>
                </c:pt>
                <c:pt idx="291">
                  <c:v>119.8</c:v>
                </c:pt>
                <c:pt idx="292">
                  <c:v>122.5</c:v>
                </c:pt>
                <c:pt idx="293">
                  <c:v>125.1</c:v>
                </c:pt>
                <c:pt idx="294">
                  <c:v>127.8</c:v>
                </c:pt>
                <c:pt idx="295">
                  <c:v>128.5</c:v>
                </c:pt>
                <c:pt idx="296">
                  <c:v>124.2</c:v>
                </c:pt>
                <c:pt idx="297">
                  <c:v>121.5</c:v>
                </c:pt>
                <c:pt idx="298">
                  <c:v>118.8</c:v>
                </c:pt>
                <c:pt idx="299">
                  <c:v>116.5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分析!$A$6</c:f>
              <c:strCache>
                <c:ptCount val="1"/>
                <c:pt idx="0">
                  <c:v>电离率 (TEC units)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分析!$B$1:$KO$1</c:f>
              <c:strCache>
                <c:ptCount val="300"/>
                <c:pt idx="0">
                  <c:v>2001/1/1</c:v>
                </c:pt>
                <c:pt idx="1">
                  <c:v>2001/2/1</c:v>
                </c:pt>
                <c:pt idx="2">
                  <c:v>2001/3/1</c:v>
                </c:pt>
                <c:pt idx="3">
                  <c:v>2001/4/1</c:v>
                </c:pt>
                <c:pt idx="4">
                  <c:v>2001/5/1</c:v>
                </c:pt>
                <c:pt idx="5">
                  <c:v>2001/6/1</c:v>
                </c:pt>
                <c:pt idx="6">
                  <c:v>2001/7/1</c:v>
                </c:pt>
                <c:pt idx="7">
                  <c:v>2001/8/1</c:v>
                </c:pt>
                <c:pt idx="8">
                  <c:v>2001/9/1</c:v>
                </c:pt>
                <c:pt idx="9">
                  <c:v>2001/10/1</c:v>
                </c:pt>
                <c:pt idx="10">
                  <c:v>2001/11/1</c:v>
                </c:pt>
                <c:pt idx="11">
                  <c:v>2001/12/1</c:v>
                </c:pt>
                <c:pt idx="12">
                  <c:v>2002/1/1</c:v>
                </c:pt>
                <c:pt idx="13">
                  <c:v>2002/2/1</c:v>
                </c:pt>
                <c:pt idx="14">
                  <c:v>2002/3/1</c:v>
                </c:pt>
                <c:pt idx="15">
                  <c:v>2002/4/1</c:v>
                </c:pt>
                <c:pt idx="16">
                  <c:v>2002/5/1</c:v>
                </c:pt>
                <c:pt idx="17">
                  <c:v>2002/6/1</c:v>
                </c:pt>
                <c:pt idx="18">
                  <c:v>2002/7/1</c:v>
                </c:pt>
                <c:pt idx="19">
                  <c:v>2002/8/1</c:v>
                </c:pt>
                <c:pt idx="20">
                  <c:v>2002/9/1</c:v>
                </c:pt>
                <c:pt idx="21">
                  <c:v>2002/10/1</c:v>
                </c:pt>
                <c:pt idx="22">
                  <c:v>2002/11/1</c:v>
                </c:pt>
                <c:pt idx="23">
                  <c:v>2002/12/1</c:v>
                </c:pt>
                <c:pt idx="24">
                  <c:v>2003/1/1</c:v>
                </c:pt>
                <c:pt idx="25">
                  <c:v>2003/2/1</c:v>
                </c:pt>
                <c:pt idx="26">
                  <c:v>2003/3/1</c:v>
                </c:pt>
                <c:pt idx="27">
                  <c:v>2003/4/1</c:v>
                </c:pt>
                <c:pt idx="28">
                  <c:v>2003/5/1</c:v>
                </c:pt>
                <c:pt idx="29">
                  <c:v>2003/6/1</c:v>
                </c:pt>
                <c:pt idx="30">
                  <c:v>2003/7/1</c:v>
                </c:pt>
                <c:pt idx="31">
                  <c:v>2003/8/1</c:v>
                </c:pt>
                <c:pt idx="32">
                  <c:v>2003/9/1</c:v>
                </c:pt>
                <c:pt idx="33">
                  <c:v>2003/10/1</c:v>
                </c:pt>
                <c:pt idx="34">
                  <c:v>2003/11/1</c:v>
                </c:pt>
                <c:pt idx="35">
                  <c:v>2003/12/1</c:v>
                </c:pt>
                <c:pt idx="36">
                  <c:v>2004/1/1</c:v>
                </c:pt>
                <c:pt idx="37">
                  <c:v>2004/2/1</c:v>
                </c:pt>
                <c:pt idx="38">
                  <c:v>2004/3/1</c:v>
                </c:pt>
                <c:pt idx="39">
                  <c:v>2004/4/1</c:v>
                </c:pt>
                <c:pt idx="40">
                  <c:v>2004/5/1</c:v>
                </c:pt>
                <c:pt idx="41">
                  <c:v>2004/6/1</c:v>
                </c:pt>
                <c:pt idx="42">
                  <c:v>2004/7/1</c:v>
                </c:pt>
                <c:pt idx="43">
                  <c:v>2004/8/1</c:v>
                </c:pt>
                <c:pt idx="44">
                  <c:v>2004/9/1</c:v>
                </c:pt>
                <c:pt idx="45">
                  <c:v>2004/10/1</c:v>
                </c:pt>
                <c:pt idx="46">
                  <c:v>2004/11/1</c:v>
                </c:pt>
                <c:pt idx="47">
                  <c:v>2004/12/1</c:v>
                </c:pt>
                <c:pt idx="48">
                  <c:v>2005/1/1</c:v>
                </c:pt>
                <c:pt idx="49">
                  <c:v>2005/2/1</c:v>
                </c:pt>
                <c:pt idx="50">
                  <c:v>2005/3/1</c:v>
                </c:pt>
                <c:pt idx="51">
                  <c:v>2005/4/1</c:v>
                </c:pt>
                <c:pt idx="52">
                  <c:v>2005/5/1</c:v>
                </c:pt>
                <c:pt idx="53">
                  <c:v>2005/6/1</c:v>
                </c:pt>
                <c:pt idx="54">
                  <c:v>2005/7/1</c:v>
                </c:pt>
                <c:pt idx="55">
                  <c:v>2005/8/1</c:v>
                </c:pt>
                <c:pt idx="56">
                  <c:v>2005/9/1</c:v>
                </c:pt>
                <c:pt idx="57">
                  <c:v>2005/10/1</c:v>
                </c:pt>
                <c:pt idx="58">
                  <c:v>2005/11/1</c:v>
                </c:pt>
                <c:pt idx="59">
                  <c:v>2005/12/1</c:v>
                </c:pt>
                <c:pt idx="60">
                  <c:v>2006/1/1</c:v>
                </c:pt>
                <c:pt idx="61">
                  <c:v>2006/2/1</c:v>
                </c:pt>
                <c:pt idx="62">
                  <c:v>2006/3/1</c:v>
                </c:pt>
                <c:pt idx="63">
                  <c:v>2006/4/1</c:v>
                </c:pt>
                <c:pt idx="64">
                  <c:v>2006/5/1</c:v>
                </c:pt>
                <c:pt idx="65">
                  <c:v>2006/6/1</c:v>
                </c:pt>
                <c:pt idx="66">
                  <c:v>2006/7/1</c:v>
                </c:pt>
                <c:pt idx="67">
                  <c:v>2006/8/1</c:v>
                </c:pt>
                <c:pt idx="68">
                  <c:v>2006/9/1</c:v>
                </c:pt>
                <c:pt idx="69">
                  <c:v>2006/10/1</c:v>
                </c:pt>
                <c:pt idx="70">
                  <c:v>2006/11/1</c:v>
                </c:pt>
                <c:pt idx="71">
                  <c:v>2006/12/1</c:v>
                </c:pt>
                <c:pt idx="72">
                  <c:v>2007/1/1</c:v>
                </c:pt>
                <c:pt idx="73">
                  <c:v>2007/2/1</c:v>
                </c:pt>
                <c:pt idx="74">
                  <c:v>2007/3/1</c:v>
                </c:pt>
                <c:pt idx="75">
                  <c:v>2007/4/1</c:v>
                </c:pt>
                <c:pt idx="76">
                  <c:v>2007/5/1</c:v>
                </c:pt>
                <c:pt idx="77">
                  <c:v>2007/6/1</c:v>
                </c:pt>
                <c:pt idx="78">
                  <c:v>2007/7/1</c:v>
                </c:pt>
                <c:pt idx="79">
                  <c:v>2007/8/1</c:v>
                </c:pt>
                <c:pt idx="80">
                  <c:v>2007/9/1</c:v>
                </c:pt>
                <c:pt idx="81">
                  <c:v>2007/10/1</c:v>
                </c:pt>
                <c:pt idx="82">
                  <c:v>2007/11/1</c:v>
                </c:pt>
                <c:pt idx="83">
                  <c:v>2007/12/1</c:v>
                </c:pt>
                <c:pt idx="84">
                  <c:v>2008/1/1</c:v>
                </c:pt>
                <c:pt idx="85">
                  <c:v>2008/2/1</c:v>
                </c:pt>
                <c:pt idx="86">
                  <c:v>2008/3/1</c:v>
                </c:pt>
                <c:pt idx="87">
                  <c:v>2008/4/1</c:v>
                </c:pt>
                <c:pt idx="88">
                  <c:v>2008/5/1</c:v>
                </c:pt>
                <c:pt idx="89">
                  <c:v>2008/6/1</c:v>
                </c:pt>
                <c:pt idx="90">
                  <c:v>2008/7/1</c:v>
                </c:pt>
                <c:pt idx="91">
                  <c:v>2008/8/1</c:v>
                </c:pt>
                <c:pt idx="92">
                  <c:v>2008/9/1</c:v>
                </c:pt>
                <c:pt idx="93">
                  <c:v>2008/10/1</c:v>
                </c:pt>
                <c:pt idx="94">
                  <c:v>2008/11/1</c:v>
                </c:pt>
                <c:pt idx="95">
                  <c:v>2008/12/1</c:v>
                </c:pt>
                <c:pt idx="96">
                  <c:v>2009/1/1</c:v>
                </c:pt>
                <c:pt idx="97">
                  <c:v>2009/2/1</c:v>
                </c:pt>
                <c:pt idx="98">
                  <c:v>2009/3/1</c:v>
                </c:pt>
                <c:pt idx="99">
                  <c:v>2009/4/1</c:v>
                </c:pt>
                <c:pt idx="100">
                  <c:v>2009/5/1</c:v>
                </c:pt>
                <c:pt idx="101">
                  <c:v>2009/6/1</c:v>
                </c:pt>
                <c:pt idx="102">
                  <c:v>2009/7/1</c:v>
                </c:pt>
                <c:pt idx="103">
                  <c:v>2009/8/1</c:v>
                </c:pt>
                <c:pt idx="104">
                  <c:v>2009/9/1</c:v>
                </c:pt>
                <c:pt idx="105">
                  <c:v>2009/10/1</c:v>
                </c:pt>
                <c:pt idx="106">
                  <c:v>2009/11/1</c:v>
                </c:pt>
                <c:pt idx="107">
                  <c:v>2009/12/1</c:v>
                </c:pt>
                <c:pt idx="108">
                  <c:v>2010/1/1</c:v>
                </c:pt>
                <c:pt idx="109">
                  <c:v>2010/2/1</c:v>
                </c:pt>
                <c:pt idx="110">
                  <c:v>2010/3/1</c:v>
                </c:pt>
                <c:pt idx="111">
                  <c:v>2010/4/1</c:v>
                </c:pt>
                <c:pt idx="112">
                  <c:v>2010/5/1</c:v>
                </c:pt>
                <c:pt idx="113">
                  <c:v>2010/6/1</c:v>
                </c:pt>
                <c:pt idx="114">
                  <c:v>2010/7/1</c:v>
                </c:pt>
                <c:pt idx="115">
                  <c:v>2010/8/1</c:v>
                </c:pt>
                <c:pt idx="116">
                  <c:v>2010/9/1</c:v>
                </c:pt>
                <c:pt idx="117">
                  <c:v>2010/10/1</c:v>
                </c:pt>
                <c:pt idx="118">
                  <c:v>2010/11/1</c:v>
                </c:pt>
                <c:pt idx="119">
                  <c:v>2010/12/1</c:v>
                </c:pt>
                <c:pt idx="120">
                  <c:v>2011/1/1</c:v>
                </c:pt>
                <c:pt idx="121">
                  <c:v>2011/2/1</c:v>
                </c:pt>
                <c:pt idx="122">
                  <c:v>2011/3/1</c:v>
                </c:pt>
                <c:pt idx="123">
                  <c:v>2011/4/1</c:v>
                </c:pt>
                <c:pt idx="124">
                  <c:v>2011/5/1</c:v>
                </c:pt>
                <c:pt idx="125">
                  <c:v>2011/6/1</c:v>
                </c:pt>
                <c:pt idx="126">
                  <c:v>2011/7/1</c:v>
                </c:pt>
                <c:pt idx="127">
                  <c:v>2011/8/1</c:v>
                </c:pt>
                <c:pt idx="128">
                  <c:v>2011/9/1</c:v>
                </c:pt>
                <c:pt idx="129">
                  <c:v>2011/10/1</c:v>
                </c:pt>
                <c:pt idx="130">
                  <c:v>2011/11/1</c:v>
                </c:pt>
                <c:pt idx="131">
                  <c:v>2011/12/1</c:v>
                </c:pt>
                <c:pt idx="132">
                  <c:v>2012/1/1</c:v>
                </c:pt>
                <c:pt idx="133">
                  <c:v>2012/2/1</c:v>
                </c:pt>
                <c:pt idx="134">
                  <c:v>2012/3/1</c:v>
                </c:pt>
                <c:pt idx="135">
                  <c:v>2012/4/1</c:v>
                </c:pt>
                <c:pt idx="136">
                  <c:v>2012/5/1</c:v>
                </c:pt>
                <c:pt idx="137">
                  <c:v>2012/6/1</c:v>
                </c:pt>
                <c:pt idx="138">
                  <c:v>2012/7/1</c:v>
                </c:pt>
                <c:pt idx="139">
                  <c:v>2012/8/1</c:v>
                </c:pt>
                <c:pt idx="140">
                  <c:v>2012/9/1</c:v>
                </c:pt>
                <c:pt idx="141">
                  <c:v>2012/10/1</c:v>
                </c:pt>
                <c:pt idx="142">
                  <c:v>2012/11/1</c:v>
                </c:pt>
                <c:pt idx="143">
                  <c:v>2012/12/1</c:v>
                </c:pt>
                <c:pt idx="144">
                  <c:v>2013/1/1</c:v>
                </c:pt>
                <c:pt idx="145">
                  <c:v>2013/2/1</c:v>
                </c:pt>
                <c:pt idx="146">
                  <c:v>2013/3/1</c:v>
                </c:pt>
                <c:pt idx="147">
                  <c:v>2013/4/1</c:v>
                </c:pt>
                <c:pt idx="148">
                  <c:v>2013/5/1</c:v>
                </c:pt>
                <c:pt idx="149">
                  <c:v>2013/6/1</c:v>
                </c:pt>
                <c:pt idx="150">
                  <c:v>2013/7/1</c:v>
                </c:pt>
                <c:pt idx="151">
                  <c:v>2013/8/1</c:v>
                </c:pt>
                <c:pt idx="152">
                  <c:v>2013/9/1</c:v>
                </c:pt>
                <c:pt idx="153">
                  <c:v>2013/10/1</c:v>
                </c:pt>
                <c:pt idx="154">
                  <c:v>2013/11/1</c:v>
                </c:pt>
                <c:pt idx="155">
                  <c:v>2013/12/1</c:v>
                </c:pt>
                <c:pt idx="156">
                  <c:v>2014/1/1</c:v>
                </c:pt>
                <c:pt idx="157">
                  <c:v>2014/2/1</c:v>
                </c:pt>
                <c:pt idx="158">
                  <c:v>2014/3/1</c:v>
                </c:pt>
                <c:pt idx="159">
                  <c:v>2014/4/1</c:v>
                </c:pt>
                <c:pt idx="160">
                  <c:v>2014/5/1</c:v>
                </c:pt>
                <c:pt idx="161">
                  <c:v>2014/6/1</c:v>
                </c:pt>
                <c:pt idx="162">
                  <c:v>2014/7/1</c:v>
                </c:pt>
                <c:pt idx="163">
                  <c:v>2014/8/1</c:v>
                </c:pt>
                <c:pt idx="164">
                  <c:v>2014/9/1</c:v>
                </c:pt>
                <c:pt idx="165">
                  <c:v>2014/10/1</c:v>
                </c:pt>
                <c:pt idx="166">
                  <c:v>2014/11/1</c:v>
                </c:pt>
                <c:pt idx="167">
                  <c:v>2014/12/1</c:v>
                </c:pt>
                <c:pt idx="168">
                  <c:v>2015/1/1</c:v>
                </c:pt>
                <c:pt idx="169">
                  <c:v>2015/2/1</c:v>
                </c:pt>
                <c:pt idx="170">
                  <c:v>2015/3/1</c:v>
                </c:pt>
                <c:pt idx="171">
                  <c:v>2015/4/1</c:v>
                </c:pt>
                <c:pt idx="172">
                  <c:v>2015/5/1</c:v>
                </c:pt>
                <c:pt idx="173">
                  <c:v>2015/6/1</c:v>
                </c:pt>
                <c:pt idx="174">
                  <c:v>2015/7/1</c:v>
                </c:pt>
                <c:pt idx="175">
                  <c:v>2015/8/1</c:v>
                </c:pt>
                <c:pt idx="176">
                  <c:v>2015/9/1</c:v>
                </c:pt>
                <c:pt idx="177">
                  <c:v>2015/10/1</c:v>
                </c:pt>
                <c:pt idx="178">
                  <c:v>2015/11/1</c:v>
                </c:pt>
                <c:pt idx="179">
                  <c:v>2015/12/1</c:v>
                </c:pt>
                <c:pt idx="180">
                  <c:v>2016/1/1</c:v>
                </c:pt>
                <c:pt idx="181">
                  <c:v>2016/2/1</c:v>
                </c:pt>
                <c:pt idx="182">
                  <c:v>2016/3/1</c:v>
                </c:pt>
                <c:pt idx="183">
                  <c:v>2016/4/1</c:v>
                </c:pt>
                <c:pt idx="184">
                  <c:v>2016/5/1</c:v>
                </c:pt>
                <c:pt idx="185">
                  <c:v>2016/6/1</c:v>
                </c:pt>
                <c:pt idx="186">
                  <c:v>2016/7/1</c:v>
                </c:pt>
                <c:pt idx="187">
                  <c:v>2016/8/1</c:v>
                </c:pt>
                <c:pt idx="188">
                  <c:v>2016/9/1</c:v>
                </c:pt>
                <c:pt idx="189">
                  <c:v>2016/10/1</c:v>
                </c:pt>
                <c:pt idx="190">
                  <c:v>2016/11/1</c:v>
                </c:pt>
                <c:pt idx="191">
                  <c:v>2016/12/1</c:v>
                </c:pt>
                <c:pt idx="192">
                  <c:v>2017/1/1</c:v>
                </c:pt>
                <c:pt idx="193">
                  <c:v>2017/2/1</c:v>
                </c:pt>
                <c:pt idx="194">
                  <c:v>2017/3/1</c:v>
                </c:pt>
                <c:pt idx="195">
                  <c:v>2017/4/1</c:v>
                </c:pt>
                <c:pt idx="196">
                  <c:v>2017/5/1</c:v>
                </c:pt>
                <c:pt idx="197">
                  <c:v>2017/6/1</c:v>
                </c:pt>
                <c:pt idx="198">
                  <c:v>2017/7/1</c:v>
                </c:pt>
                <c:pt idx="199">
                  <c:v>2017/8/1</c:v>
                </c:pt>
                <c:pt idx="200">
                  <c:v>2017/9/1</c:v>
                </c:pt>
                <c:pt idx="201">
                  <c:v>2017/10/1</c:v>
                </c:pt>
                <c:pt idx="202">
                  <c:v>2017/11/1</c:v>
                </c:pt>
                <c:pt idx="203">
                  <c:v>2017/12/1</c:v>
                </c:pt>
                <c:pt idx="204">
                  <c:v>2018/1/1</c:v>
                </c:pt>
                <c:pt idx="205">
                  <c:v>2018/2/1</c:v>
                </c:pt>
                <c:pt idx="206">
                  <c:v>2018/3/1</c:v>
                </c:pt>
                <c:pt idx="207">
                  <c:v>2018/4/1</c:v>
                </c:pt>
                <c:pt idx="208">
                  <c:v>2018/5/1</c:v>
                </c:pt>
                <c:pt idx="209">
                  <c:v>2018/6/1</c:v>
                </c:pt>
                <c:pt idx="210">
                  <c:v>2018/7/1</c:v>
                </c:pt>
                <c:pt idx="211">
                  <c:v>2018/8/1</c:v>
                </c:pt>
                <c:pt idx="212">
                  <c:v>2018/9/1</c:v>
                </c:pt>
                <c:pt idx="213">
                  <c:v>2018/10/1</c:v>
                </c:pt>
                <c:pt idx="214">
                  <c:v>2018/11/1</c:v>
                </c:pt>
                <c:pt idx="215">
                  <c:v>2018/12/1</c:v>
                </c:pt>
                <c:pt idx="216">
                  <c:v>2019/1/1</c:v>
                </c:pt>
                <c:pt idx="217">
                  <c:v>2019/2/1</c:v>
                </c:pt>
                <c:pt idx="218">
                  <c:v>2019/3/1</c:v>
                </c:pt>
                <c:pt idx="219">
                  <c:v>2019/4/1</c:v>
                </c:pt>
                <c:pt idx="220">
                  <c:v>2019/5/1</c:v>
                </c:pt>
                <c:pt idx="221">
                  <c:v>2019/6/1</c:v>
                </c:pt>
                <c:pt idx="222">
                  <c:v>2019/7/1</c:v>
                </c:pt>
                <c:pt idx="223">
                  <c:v>2019/8/1</c:v>
                </c:pt>
                <c:pt idx="224">
                  <c:v>2019/9/1</c:v>
                </c:pt>
                <c:pt idx="225">
                  <c:v>2019/10/1</c:v>
                </c:pt>
                <c:pt idx="226">
                  <c:v>2019/11/1</c:v>
                </c:pt>
                <c:pt idx="227">
                  <c:v>2019/12/1</c:v>
                </c:pt>
                <c:pt idx="228">
                  <c:v>2020/1/1</c:v>
                </c:pt>
                <c:pt idx="229">
                  <c:v>2020/2/1</c:v>
                </c:pt>
                <c:pt idx="230">
                  <c:v>2020/3/1</c:v>
                </c:pt>
                <c:pt idx="231">
                  <c:v>2020/4/1</c:v>
                </c:pt>
                <c:pt idx="232">
                  <c:v>2020/5/1</c:v>
                </c:pt>
                <c:pt idx="233">
                  <c:v>2020/6/1</c:v>
                </c:pt>
                <c:pt idx="234">
                  <c:v>2020/7/1</c:v>
                </c:pt>
                <c:pt idx="235">
                  <c:v>2020/8/1</c:v>
                </c:pt>
                <c:pt idx="236">
                  <c:v>2020/9/1</c:v>
                </c:pt>
                <c:pt idx="237">
                  <c:v>2020/10/1</c:v>
                </c:pt>
                <c:pt idx="238">
                  <c:v>2020/11/1</c:v>
                </c:pt>
                <c:pt idx="239">
                  <c:v>2020/12/1</c:v>
                </c:pt>
                <c:pt idx="240">
                  <c:v>2021/1/1</c:v>
                </c:pt>
                <c:pt idx="241">
                  <c:v>2021/2/1</c:v>
                </c:pt>
                <c:pt idx="242">
                  <c:v>2021/3/1</c:v>
                </c:pt>
                <c:pt idx="243">
                  <c:v>2021/4/1</c:v>
                </c:pt>
                <c:pt idx="244">
                  <c:v>2021/5/1</c:v>
                </c:pt>
                <c:pt idx="245">
                  <c:v>2021/6/1</c:v>
                </c:pt>
                <c:pt idx="246">
                  <c:v>2021/7/1</c:v>
                </c:pt>
                <c:pt idx="247">
                  <c:v>2021/8/1</c:v>
                </c:pt>
                <c:pt idx="248">
                  <c:v>2021/9/1</c:v>
                </c:pt>
                <c:pt idx="249">
                  <c:v>2021/10/1</c:v>
                </c:pt>
                <c:pt idx="250">
                  <c:v>2021/11/1</c:v>
                </c:pt>
                <c:pt idx="251">
                  <c:v>2021/12/1</c:v>
                </c:pt>
                <c:pt idx="252">
                  <c:v>2022/1/1</c:v>
                </c:pt>
                <c:pt idx="253">
                  <c:v>2022/2/1</c:v>
                </c:pt>
                <c:pt idx="254">
                  <c:v>2022/3/1</c:v>
                </c:pt>
                <c:pt idx="255">
                  <c:v>2022/4/1</c:v>
                </c:pt>
                <c:pt idx="256">
                  <c:v>2022/5/1</c:v>
                </c:pt>
                <c:pt idx="257">
                  <c:v>2022/6/1</c:v>
                </c:pt>
                <c:pt idx="258">
                  <c:v>2022/7/1</c:v>
                </c:pt>
                <c:pt idx="259">
                  <c:v>2022/8/1</c:v>
                </c:pt>
                <c:pt idx="260">
                  <c:v>2022/9/1</c:v>
                </c:pt>
                <c:pt idx="261">
                  <c:v>2022/10/1</c:v>
                </c:pt>
                <c:pt idx="262">
                  <c:v>2022/11/1</c:v>
                </c:pt>
                <c:pt idx="263">
                  <c:v>2022/12/1</c:v>
                </c:pt>
                <c:pt idx="264">
                  <c:v>2023/1/1</c:v>
                </c:pt>
                <c:pt idx="265">
                  <c:v>2023/2/1</c:v>
                </c:pt>
                <c:pt idx="266">
                  <c:v>2023/3/1</c:v>
                </c:pt>
                <c:pt idx="267">
                  <c:v>2023/4/1</c:v>
                </c:pt>
                <c:pt idx="268">
                  <c:v>2023/5/1</c:v>
                </c:pt>
                <c:pt idx="269">
                  <c:v>2023/6/1</c:v>
                </c:pt>
                <c:pt idx="270">
                  <c:v>2023/7/1</c:v>
                </c:pt>
                <c:pt idx="271">
                  <c:v>2023/8/1</c:v>
                </c:pt>
                <c:pt idx="272">
                  <c:v>2023/9/1</c:v>
                </c:pt>
                <c:pt idx="273">
                  <c:v>2023/10/1</c:v>
                </c:pt>
                <c:pt idx="274">
                  <c:v>2023/11/1</c:v>
                </c:pt>
                <c:pt idx="275">
                  <c:v>2023/12/1</c:v>
                </c:pt>
                <c:pt idx="276">
                  <c:v>2024/1/1</c:v>
                </c:pt>
                <c:pt idx="277">
                  <c:v>2024/2/1</c:v>
                </c:pt>
                <c:pt idx="278">
                  <c:v>2024/3/1</c:v>
                </c:pt>
                <c:pt idx="279">
                  <c:v>2024/4/1</c:v>
                </c:pt>
                <c:pt idx="280">
                  <c:v>2024/5/1</c:v>
                </c:pt>
                <c:pt idx="281">
                  <c:v>2024/6/1</c:v>
                </c:pt>
                <c:pt idx="282">
                  <c:v>2024/7/1</c:v>
                </c:pt>
                <c:pt idx="283">
                  <c:v>2024/8/1</c:v>
                </c:pt>
                <c:pt idx="284">
                  <c:v>2024/9/1</c:v>
                </c:pt>
                <c:pt idx="285">
                  <c:v>2024/10/1</c:v>
                </c:pt>
                <c:pt idx="286">
                  <c:v>2024/11/1</c:v>
                </c:pt>
                <c:pt idx="287">
                  <c:v>2024/12/1</c:v>
                </c:pt>
                <c:pt idx="288">
                  <c:v>2025/1/1</c:v>
                </c:pt>
                <c:pt idx="289">
                  <c:v>2025/2/1</c:v>
                </c:pt>
                <c:pt idx="290">
                  <c:v>2025/3/1</c:v>
                </c:pt>
                <c:pt idx="291">
                  <c:v>2025/4/1</c:v>
                </c:pt>
                <c:pt idx="292">
                  <c:v>2025/5/1</c:v>
                </c:pt>
                <c:pt idx="293">
                  <c:v>2025/6/1</c:v>
                </c:pt>
                <c:pt idx="294">
                  <c:v>2025/7/1</c:v>
                </c:pt>
                <c:pt idx="295">
                  <c:v>2025/8/1</c:v>
                </c:pt>
                <c:pt idx="296">
                  <c:v>2025/9/1</c:v>
                </c:pt>
                <c:pt idx="297">
                  <c:v>2025/10/1</c:v>
                </c:pt>
                <c:pt idx="298">
                  <c:v>2025/11/1</c:v>
                </c:pt>
                <c:pt idx="299">
                  <c:v>2025/12/1</c:v>
                </c:pt>
              </c:strCache>
            </c:strRef>
          </c:cat>
          <c:val>
            <c:numRef>
              <c:f>分析!$B$6:$KO$6</c:f>
              <c:numCache>
                <c:formatCode>General</c:formatCode>
                <c:ptCount val="300"/>
                <c:pt idx="0">
                  <c:v>42.5</c:v>
                </c:pt>
                <c:pt idx="1">
                  <c:v>45.8</c:v>
                </c:pt>
                <c:pt idx="2">
                  <c:v>52.3</c:v>
                </c:pt>
                <c:pt idx="3">
                  <c:v>68.4</c:v>
                </c:pt>
                <c:pt idx="4">
                  <c:v>61.2</c:v>
                </c:pt>
                <c:pt idx="5">
                  <c:v>58.6</c:v>
                </c:pt>
                <c:pt idx="6">
                  <c:v>55.1</c:v>
                </c:pt>
                <c:pt idx="7">
                  <c:v>53.8</c:v>
                </c:pt>
                <c:pt idx="8">
                  <c:v>51.5</c:v>
                </c:pt>
                <c:pt idx="9">
                  <c:v>59.2</c:v>
                </c:pt>
                <c:pt idx="10">
                  <c:v>56.4</c:v>
                </c:pt>
                <c:pt idx="11">
                  <c:v>48.9</c:v>
                </c:pt>
                <c:pt idx="12">
                  <c:v>41.2</c:v>
                </c:pt>
                <c:pt idx="13">
                  <c:v>43.5</c:v>
                </c:pt>
                <c:pt idx="14">
                  <c:v>50.8</c:v>
                </c:pt>
                <c:pt idx="15">
                  <c:v>56.4</c:v>
                </c:pt>
                <c:pt idx="16">
                  <c:v>52.1</c:v>
                </c:pt>
                <c:pt idx="17">
                  <c:v>49.5</c:v>
                </c:pt>
                <c:pt idx="18">
                  <c:v>47.2</c:v>
                </c:pt>
                <c:pt idx="19">
                  <c:v>48.8</c:v>
                </c:pt>
                <c:pt idx="20">
                  <c:v>51.2</c:v>
                </c:pt>
                <c:pt idx="21">
                  <c:v>58.6</c:v>
                </c:pt>
                <c:pt idx="22">
                  <c:v>61.4</c:v>
                </c:pt>
                <c:pt idx="23">
                  <c:v>45.7</c:v>
                </c:pt>
                <c:pt idx="24">
                  <c:v>38.5</c:v>
                </c:pt>
                <c:pt idx="25">
                  <c:v>40.2</c:v>
                </c:pt>
                <c:pt idx="26">
                  <c:v>45.6</c:v>
                </c:pt>
                <c:pt idx="27">
                  <c:v>48.9</c:v>
                </c:pt>
                <c:pt idx="28">
                  <c:v>51.5</c:v>
                </c:pt>
                <c:pt idx="29">
                  <c:v>47.8</c:v>
                </c:pt>
                <c:pt idx="30">
                  <c:v>46.2</c:v>
                </c:pt>
                <c:pt idx="31">
                  <c:v>49.4</c:v>
                </c:pt>
                <c:pt idx="32">
                  <c:v>52.1</c:v>
                </c:pt>
                <c:pt idx="33">
                  <c:v>58.4</c:v>
                </c:pt>
                <c:pt idx="34">
                  <c:v>95.8</c:v>
                </c:pt>
                <c:pt idx="35">
                  <c:v>56.5</c:v>
                </c:pt>
                <c:pt idx="36">
                  <c:v>35.8</c:v>
                </c:pt>
                <c:pt idx="37">
                  <c:v>36.5</c:v>
                </c:pt>
                <c:pt idx="38">
                  <c:v>41.2</c:v>
                </c:pt>
                <c:pt idx="39">
                  <c:v>43.8</c:v>
                </c:pt>
                <c:pt idx="40">
                  <c:v>46.5</c:v>
                </c:pt>
                <c:pt idx="41">
                  <c:v>42.1</c:v>
                </c:pt>
                <c:pt idx="42">
                  <c:v>40.8</c:v>
                </c:pt>
                <c:pt idx="43">
                  <c:v>44.5</c:v>
                </c:pt>
                <c:pt idx="44">
                  <c:v>48.2</c:v>
                </c:pt>
                <c:pt idx="45">
                  <c:v>55.6</c:v>
                </c:pt>
                <c:pt idx="46">
                  <c:v>59.8</c:v>
                </c:pt>
                <c:pt idx="47">
                  <c:v>42.4</c:v>
                </c:pt>
                <c:pt idx="48">
                  <c:v>32.5</c:v>
                </c:pt>
                <c:pt idx="49">
                  <c:v>33.8</c:v>
                </c:pt>
                <c:pt idx="50">
                  <c:v>38.5</c:v>
                </c:pt>
                <c:pt idx="51">
                  <c:v>40.2</c:v>
                </c:pt>
                <c:pt idx="52">
                  <c:v>42.8</c:v>
                </c:pt>
                <c:pt idx="53">
                  <c:v>39.5</c:v>
                </c:pt>
                <c:pt idx="54">
                  <c:v>38.2</c:v>
                </c:pt>
                <c:pt idx="55">
                  <c:v>41.5</c:v>
                </c:pt>
                <c:pt idx="56">
                  <c:v>44.8</c:v>
                </c:pt>
                <c:pt idx="57">
                  <c:v>52.3</c:v>
                </c:pt>
                <c:pt idx="58">
                  <c:v>55.6</c:v>
                </c:pt>
                <c:pt idx="59">
                  <c:v>58.2</c:v>
                </c:pt>
                <c:pt idx="60">
                  <c:v>28.5</c:v>
                </c:pt>
                <c:pt idx="61">
                  <c:v>29.2</c:v>
                </c:pt>
                <c:pt idx="62">
                  <c:v>32.8</c:v>
                </c:pt>
                <c:pt idx="63">
                  <c:v>35.4</c:v>
                </c:pt>
                <c:pt idx="64">
                  <c:v>38.2</c:v>
                </c:pt>
                <c:pt idx="65">
                  <c:v>34.5</c:v>
                </c:pt>
                <c:pt idx="66">
                  <c:v>33.1</c:v>
                </c:pt>
                <c:pt idx="67">
                  <c:v>36.8</c:v>
                </c:pt>
                <c:pt idx="68">
                  <c:v>40.2</c:v>
                </c:pt>
                <c:pt idx="69">
                  <c:v>48.5</c:v>
                </c:pt>
                <c:pt idx="70">
                  <c:v>52.1</c:v>
                </c:pt>
                <c:pt idx="71">
                  <c:v>55.4</c:v>
                </c:pt>
                <c:pt idx="72">
                  <c:v>52.4</c:v>
                </c:pt>
                <c:pt idx="73">
                  <c:v>31.5</c:v>
                </c:pt>
                <c:pt idx="74">
                  <c:v>33.2</c:v>
                </c:pt>
                <c:pt idx="75">
                  <c:v>34.8</c:v>
                </c:pt>
                <c:pt idx="76">
                  <c:v>37.1</c:v>
                </c:pt>
                <c:pt idx="77">
                  <c:v>32.5</c:v>
                </c:pt>
                <c:pt idx="78">
                  <c:v>31.8</c:v>
                </c:pt>
                <c:pt idx="79">
                  <c:v>35.4</c:v>
                </c:pt>
                <c:pt idx="80">
                  <c:v>38.6</c:v>
                </c:pt>
                <c:pt idx="81">
                  <c:v>42.1</c:v>
                </c:pt>
                <c:pt idx="82">
                  <c:v>62.8</c:v>
                </c:pt>
                <c:pt idx="83">
                  <c:v>65.5</c:v>
                </c:pt>
                <c:pt idx="84">
                  <c:v>24.5</c:v>
                </c:pt>
                <c:pt idx="85">
                  <c:v>25.2</c:v>
                </c:pt>
                <c:pt idx="86">
                  <c:v>28.6</c:v>
                </c:pt>
                <c:pt idx="87">
                  <c:v>30.2</c:v>
                </c:pt>
                <c:pt idx="88">
                  <c:v>32.5</c:v>
                </c:pt>
                <c:pt idx="89">
                  <c:v>29.8</c:v>
                </c:pt>
                <c:pt idx="90">
                  <c:v>28.4</c:v>
                </c:pt>
                <c:pt idx="91">
                  <c:v>31.2</c:v>
                </c:pt>
                <c:pt idx="92">
                  <c:v>34.6</c:v>
                </c:pt>
                <c:pt idx="93">
                  <c:v>41.2</c:v>
                </c:pt>
                <c:pt idx="94">
                  <c:v>43.5</c:v>
                </c:pt>
                <c:pt idx="95">
                  <c:v>39.8</c:v>
                </c:pt>
                <c:pt idx="96">
                  <c:v>22.4</c:v>
                </c:pt>
                <c:pt idx="97">
                  <c:v>22.8</c:v>
                </c:pt>
                <c:pt idx="98">
                  <c:v>25.1</c:v>
                </c:pt>
                <c:pt idx="99">
                  <c:v>26.8</c:v>
                </c:pt>
                <c:pt idx="100">
                  <c:v>29.5</c:v>
                </c:pt>
                <c:pt idx="101">
                  <c:v>26.2</c:v>
                </c:pt>
                <c:pt idx="102">
                  <c:v>25.4</c:v>
                </c:pt>
                <c:pt idx="103">
                  <c:v>27.8</c:v>
                </c:pt>
                <c:pt idx="104">
                  <c:v>31.2</c:v>
                </c:pt>
                <c:pt idx="105">
                  <c:v>38.4</c:v>
                </c:pt>
                <c:pt idx="106">
                  <c:v>40.5</c:v>
                </c:pt>
                <c:pt idx="107">
                  <c:v>35.8</c:v>
                </c:pt>
                <c:pt idx="108">
                  <c:v>25.4</c:v>
                </c:pt>
                <c:pt idx="109">
                  <c:v>28.6</c:v>
                </c:pt>
                <c:pt idx="110">
                  <c:v>32.5</c:v>
                </c:pt>
                <c:pt idx="111">
                  <c:v>35.8</c:v>
                </c:pt>
                <c:pt idx="112">
                  <c:v>39.2</c:v>
                </c:pt>
                <c:pt idx="113">
                  <c:v>35.5</c:v>
                </c:pt>
                <c:pt idx="114">
                  <c:v>34.2</c:v>
                </c:pt>
                <c:pt idx="115">
                  <c:v>37.6</c:v>
                </c:pt>
                <c:pt idx="116">
                  <c:v>41.5</c:v>
                </c:pt>
                <c:pt idx="117">
                  <c:v>49.8</c:v>
                </c:pt>
                <c:pt idx="118">
                  <c:v>53.4</c:v>
                </c:pt>
                <c:pt idx="119">
                  <c:v>46.2</c:v>
                </c:pt>
                <c:pt idx="120">
                  <c:v>29.5</c:v>
                </c:pt>
                <c:pt idx="121">
                  <c:v>33.8</c:v>
                </c:pt>
                <c:pt idx="122">
                  <c:v>42.1</c:v>
                </c:pt>
                <c:pt idx="123">
                  <c:v>48.5</c:v>
                </c:pt>
                <c:pt idx="124">
                  <c:v>52.4</c:v>
                </c:pt>
                <c:pt idx="125">
                  <c:v>46.2</c:v>
                </c:pt>
                <c:pt idx="126">
                  <c:v>44.8</c:v>
                </c:pt>
                <c:pt idx="127">
                  <c:v>48.6</c:v>
                </c:pt>
                <c:pt idx="128">
                  <c:v>55.4</c:v>
                </c:pt>
                <c:pt idx="129">
                  <c:v>68.2</c:v>
                </c:pt>
                <c:pt idx="130">
                  <c:v>72.5</c:v>
                </c:pt>
                <c:pt idx="131">
                  <c:v>58.4</c:v>
                </c:pt>
                <c:pt idx="132">
                  <c:v>45.2</c:v>
                </c:pt>
                <c:pt idx="133">
                  <c:v>48.6</c:v>
                </c:pt>
                <c:pt idx="134">
                  <c:v>62.4</c:v>
                </c:pt>
                <c:pt idx="135">
                  <c:v>58.5</c:v>
                </c:pt>
                <c:pt idx="136">
                  <c:v>56.2</c:v>
                </c:pt>
                <c:pt idx="137">
                  <c:v>50.8</c:v>
                </c:pt>
                <c:pt idx="138">
                  <c:v>48.5</c:v>
                </c:pt>
                <c:pt idx="139">
                  <c:v>52.1</c:v>
                </c:pt>
                <c:pt idx="140">
                  <c:v>58.6</c:v>
                </c:pt>
                <c:pt idx="141">
                  <c:v>74.2</c:v>
                </c:pt>
                <c:pt idx="142">
                  <c:v>78.5</c:v>
                </c:pt>
                <c:pt idx="143">
                  <c:v>62.1</c:v>
                </c:pt>
                <c:pt idx="144">
                  <c:v>40.5</c:v>
                </c:pt>
                <c:pt idx="145">
                  <c:v>42.8</c:v>
                </c:pt>
                <c:pt idx="146">
                  <c:v>52.4</c:v>
                </c:pt>
                <c:pt idx="147">
                  <c:v>55.6</c:v>
                </c:pt>
                <c:pt idx="148">
                  <c:v>51.2</c:v>
                </c:pt>
                <c:pt idx="149">
                  <c:v>46.8</c:v>
                </c:pt>
                <c:pt idx="150">
                  <c:v>45.4</c:v>
                </c:pt>
                <c:pt idx="151">
                  <c:v>48.2</c:v>
                </c:pt>
                <c:pt idx="152">
                  <c:v>53.5</c:v>
                </c:pt>
                <c:pt idx="153">
                  <c:v>65.8</c:v>
                </c:pt>
                <c:pt idx="154">
                  <c:v>70.2</c:v>
                </c:pt>
                <c:pt idx="155">
                  <c:v>52.5</c:v>
                </c:pt>
                <c:pt idx="156">
                  <c:v>48.2</c:v>
                </c:pt>
                <c:pt idx="157">
                  <c:v>52.4</c:v>
                </c:pt>
                <c:pt idx="158">
                  <c:v>68.6</c:v>
                </c:pt>
                <c:pt idx="159">
                  <c:v>70.5</c:v>
                </c:pt>
                <c:pt idx="160">
                  <c:v>65.2</c:v>
                </c:pt>
                <c:pt idx="161">
                  <c:v>58.4</c:v>
                </c:pt>
                <c:pt idx="162">
                  <c:v>55.8</c:v>
                </c:pt>
                <c:pt idx="163">
                  <c:v>60.2</c:v>
                </c:pt>
                <c:pt idx="164">
                  <c:v>65.5</c:v>
                </c:pt>
                <c:pt idx="165">
                  <c:v>78.4</c:v>
                </c:pt>
                <c:pt idx="166">
                  <c:v>82.6</c:v>
                </c:pt>
                <c:pt idx="167">
                  <c:v>68.2</c:v>
                </c:pt>
                <c:pt idx="168">
                  <c:v>42.8</c:v>
                </c:pt>
                <c:pt idx="169">
                  <c:v>45.4</c:v>
                </c:pt>
                <c:pt idx="170">
                  <c:v>52.6</c:v>
                </c:pt>
                <c:pt idx="171">
                  <c:v>58.2</c:v>
                </c:pt>
                <c:pt idx="172">
                  <c:v>54.5</c:v>
                </c:pt>
                <c:pt idx="173">
                  <c:v>48.6</c:v>
                </c:pt>
                <c:pt idx="174">
                  <c:v>46.2</c:v>
                </c:pt>
                <c:pt idx="175">
                  <c:v>49.5</c:v>
                </c:pt>
                <c:pt idx="176">
                  <c:v>55.4</c:v>
                </c:pt>
                <c:pt idx="177">
                  <c:v>68.5</c:v>
                </c:pt>
                <c:pt idx="178">
                  <c:v>74.2</c:v>
                </c:pt>
                <c:pt idx="179">
                  <c:v>78.6</c:v>
                </c:pt>
                <c:pt idx="180">
                  <c:v>62.5</c:v>
                </c:pt>
                <c:pt idx="181">
                  <c:v>52.4</c:v>
                </c:pt>
                <c:pt idx="182">
                  <c:v>48.6</c:v>
                </c:pt>
                <c:pt idx="183">
                  <c:v>42.1</c:v>
                </c:pt>
                <c:pt idx="184">
                  <c:v>39.8</c:v>
                </c:pt>
                <c:pt idx="185">
                  <c:v>35.5</c:v>
                </c:pt>
                <c:pt idx="186">
                  <c:v>34.2</c:v>
                </c:pt>
                <c:pt idx="187">
                  <c:v>38.6</c:v>
                </c:pt>
                <c:pt idx="188">
                  <c:v>42.5</c:v>
                </c:pt>
                <c:pt idx="189">
                  <c:v>52.4</c:v>
                </c:pt>
                <c:pt idx="190">
                  <c:v>58.6</c:v>
                </c:pt>
                <c:pt idx="191">
                  <c:v>46.5</c:v>
                </c:pt>
                <c:pt idx="192">
                  <c:v>28.6</c:v>
                </c:pt>
                <c:pt idx="193">
                  <c:v>29.5</c:v>
                </c:pt>
                <c:pt idx="194">
                  <c:v>32.8</c:v>
                </c:pt>
                <c:pt idx="195">
                  <c:v>35.1</c:v>
                </c:pt>
                <c:pt idx="196">
                  <c:v>31.4</c:v>
                </c:pt>
                <c:pt idx="197">
                  <c:v>28.2</c:v>
                </c:pt>
                <c:pt idx="198">
                  <c:v>27.5</c:v>
                </c:pt>
                <c:pt idx="199">
                  <c:v>29.8</c:v>
                </c:pt>
                <c:pt idx="200">
                  <c:v>58.6</c:v>
                </c:pt>
                <c:pt idx="201">
                  <c:v>52.4</c:v>
                </c:pt>
                <c:pt idx="202">
                  <c:v>56.8</c:v>
                </c:pt>
                <c:pt idx="203">
                  <c:v>38.5</c:v>
                </c:pt>
                <c:pt idx="204">
                  <c:v>22.1</c:v>
                </c:pt>
                <c:pt idx="205">
                  <c:v>22.5</c:v>
                </c:pt>
                <c:pt idx="206">
                  <c:v>25.8</c:v>
                </c:pt>
                <c:pt idx="207">
                  <c:v>26.4</c:v>
                </c:pt>
                <c:pt idx="208">
                  <c:v>28.2</c:v>
                </c:pt>
                <c:pt idx="209">
                  <c:v>25.1</c:v>
                </c:pt>
                <c:pt idx="210">
                  <c:v>24.2</c:v>
                </c:pt>
                <c:pt idx="211">
                  <c:v>26.5</c:v>
                </c:pt>
                <c:pt idx="212">
                  <c:v>28.1</c:v>
                </c:pt>
                <c:pt idx="213">
                  <c:v>35.4</c:v>
                </c:pt>
                <c:pt idx="214">
                  <c:v>38.8</c:v>
                </c:pt>
                <c:pt idx="215">
                  <c:v>30.2</c:v>
                </c:pt>
                <c:pt idx="216">
                  <c:v>20.4</c:v>
                </c:pt>
                <c:pt idx="217">
                  <c:v>20.8</c:v>
                </c:pt>
                <c:pt idx="218">
                  <c:v>23.5</c:v>
                </c:pt>
                <c:pt idx="219">
                  <c:v>24.2</c:v>
                </c:pt>
                <c:pt idx="220">
                  <c:v>26.8</c:v>
                </c:pt>
                <c:pt idx="221">
                  <c:v>22.5</c:v>
                </c:pt>
                <c:pt idx="222">
                  <c:v>21.8</c:v>
                </c:pt>
                <c:pt idx="223">
                  <c:v>24.6</c:v>
                </c:pt>
                <c:pt idx="224">
                  <c:v>27.2</c:v>
                </c:pt>
                <c:pt idx="225">
                  <c:v>34.1</c:v>
                </c:pt>
                <c:pt idx="226">
                  <c:v>36.5</c:v>
                </c:pt>
                <c:pt idx="227">
                  <c:v>38.2</c:v>
                </c:pt>
                <c:pt idx="228">
                  <c:v>22.5</c:v>
                </c:pt>
                <c:pt idx="229">
                  <c:v>23.1</c:v>
                </c:pt>
                <c:pt idx="230">
                  <c:v>26.4</c:v>
                </c:pt>
                <c:pt idx="231">
                  <c:v>28.2</c:v>
                </c:pt>
                <c:pt idx="232">
                  <c:v>30.5</c:v>
                </c:pt>
                <c:pt idx="233">
                  <c:v>27.4</c:v>
                </c:pt>
                <c:pt idx="234">
                  <c:v>26.8</c:v>
                </c:pt>
                <c:pt idx="235">
                  <c:v>29.5</c:v>
                </c:pt>
                <c:pt idx="236">
                  <c:v>32.6</c:v>
                </c:pt>
                <c:pt idx="237">
                  <c:v>42.4</c:v>
                </c:pt>
                <c:pt idx="238">
                  <c:v>45.8</c:v>
                </c:pt>
                <c:pt idx="239">
                  <c:v>41.2</c:v>
                </c:pt>
                <c:pt idx="240">
                  <c:v>28.5</c:v>
                </c:pt>
                <c:pt idx="241">
                  <c:v>30.2</c:v>
                </c:pt>
                <c:pt idx="242">
                  <c:v>38.6</c:v>
                </c:pt>
                <c:pt idx="243">
                  <c:v>41.2</c:v>
                </c:pt>
                <c:pt idx="244">
                  <c:v>43.5</c:v>
                </c:pt>
                <c:pt idx="245">
                  <c:v>39.4</c:v>
                </c:pt>
                <c:pt idx="246">
                  <c:v>37.8</c:v>
                </c:pt>
                <c:pt idx="247">
                  <c:v>42.5</c:v>
                </c:pt>
                <c:pt idx="248">
                  <c:v>46.8</c:v>
                </c:pt>
                <c:pt idx="249">
                  <c:v>58.2</c:v>
                </c:pt>
                <c:pt idx="250">
                  <c:v>64.5</c:v>
                </c:pt>
                <c:pt idx="251">
                  <c:v>52.1</c:v>
                </c:pt>
                <c:pt idx="252">
                  <c:v>38.5</c:v>
                </c:pt>
                <c:pt idx="253">
                  <c:v>42.6</c:v>
                </c:pt>
                <c:pt idx="254">
                  <c:v>55.4</c:v>
                </c:pt>
                <c:pt idx="255">
                  <c:v>52.8</c:v>
                </c:pt>
                <c:pt idx="256">
                  <c:v>49.2</c:v>
                </c:pt>
                <c:pt idx="257">
                  <c:v>45.5</c:v>
                </c:pt>
                <c:pt idx="258">
                  <c:v>43.8</c:v>
                </c:pt>
                <c:pt idx="259">
                  <c:v>48.2</c:v>
                </c:pt>
                <c:pt idx="260">
                  <c:v>56.5</c:v>
                </c:pt>
                <c:pt idx="261">
                  <c:v>72.4</c:v>
                </c:pt>
                <c:pt idx="262">
                  <c:v>78.6</c:v>
                </c:pt>
                <c:pt idx="263">
                  <c:v>64.2</c:v>
                </c:pt>
                <c:pt idx="264">
                  <c:v>46.2</c:v>
                </c:pt>
                <c:pt idx="265">
                  <c:v>58.4</c:v>
                </c:pt>
                <c:pt idx="266">
                  <c:v>74.5</c:v>
                </c:pt>
                <c:pt idx="267">
                  <c:v>72.1</c:v>
                </c:pt>
                <c:pt idx="268">
                  <c:v>68.4</c:v>
                </c:pt>
                <c:pt idx="269">
                  <c:v>55.2</c:v>
                </c:pt>
                <c:pt idx="270">
                  <c:v>52.8</c:v>
                </c:pt>
                <c:pt idx="271">
                  <c:v>56.5</c:v>
                </c:pt>
                <c:pt idx="272">
                  <c:v>64.2</c:v>
                </c:pt>
                <c:pt idx="273">
                  <c:v>85.6</c:v>
                </c:pt>
                <c:pt idx="274">
                  <c:v>92.4</c:v>
                </c:pt>
                <c:pt idx="275">
                  <c:v>76.5</c:v>
                </c:pt>
                <c:pt idx="276">
                  <c:v>58.6</c:v>
                </c:pt>
                <c:pt idx="277">
                  <c:v>62.4</c:v>
                </c:pt>
                <c:pt idx="278">
                  <c:v>78.2</c:v>
                </c:pt>
                <c:pt idx="279">
                  <c:v>76.5</c:v>
                </c:pt>
                <c:pt idx="280">
                  <c:v>84.4</c:v>
                </c:pt>
                <c:pt idx="281">
                  <c:v>68.2</c:v>
                </c:pt>
                <c:pt idx="282">
                  <c:v>65.5</c:v>
                </c:pt>
                <c:pt idx="283">
                  <c:v>72.8</c:v>
                </c:pt>
                <c:pt idx="284">
                  <c:v>82.1</c:v>
                </c:pt>
                <c:pt idx="285">
                  <c:v>94.6</c:v>
                </c:pt>
                <c:pt idx="286">
                  <c:v>98.8</c:v>
                </c:pt>
                <c:pt idx="287">
                  <c:v>85.2</c:v>
                </c:pt>
                <c:pt idx="288">
                  <c:v>68.2</c:v>
                </c:pt>
                <c:pt idx="289">
                  <c:v>72.5</c:v>
                </c:pt>
                <c:pt idx="290">
                  <c:v>88.4</c:v>
                </c:pt>
                <c:pt idx="291">
                  <c:v>85.1</c:v>
                </c:pt>
                <c:pt idx="292">
                  <c:v>92.6</c:v>
                </c:pt>
                <c:pt idx="293">
                  <c:v>76.8</c:v>
                </c:pt>
                <c:pt idx="294">
                  <c:v>74.2</c:v>
                </c:pt>
                <c:pt idx="295">
                  <c:v>82.5</c:v>
                </c:pt>
                <c:pt idx="296">
                  <c:v>89.6</c:v>
                </c:pt>
                <c:pt idx="297">
                  <c:v>102.4</c:v>
                </c:pt>
                <c:pt idx="298">
                  <c:v>108.5</c:v>
                </c:pt>
                <c:pt idx="299">
                  <c:v>92.1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分析!$A$7</c:f>
              <c:strCache>
                <c:ptCount val="1"/>
                <c:pt idx="0">
                  <c:v>氢原子 (H) 浓度乘以10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分析!$B$1:$KO$1</c:f>
              <c:strCache>
                <c:ptCount val="300"/>
                <c:pt idx="0">
                  <c:v>2001/1/1</c:v>
                </c:pt>
                <c:pt idx="1">
                  <c:v>2001/2/1</c:v>
                </c:pt>
                <c:pt idx="2">
                  <c:v>2001/3/1</c:v>
                </c:pt>
                <c:pt idx="3">
                  <c:v>2001/4/1</c:v>
                </c:pt>
                <c:pt idx="4">
                  <c:v>2001/5/1</c:v>
                </c:pt>
                <c:pt idx="5">
                  <c:v>2001/6/1</c:v>
                </c:pt>
                <c:pt idx="6">
                  <c:v>2001/7/1</c:v>
                </c:pt>
                <c:pt idx="7">
                  <c:v>2001/8/1</c:v>
                </c:pt>
                <c:pt idx="8">
                  <c:v>2001/9/1</c:v>
                </c:pt>
                <c:pt idx="9">
                  <c:v>2001/10/1</c:v>
                </c:pt>
                <c:pt idx="10">
                  <c:v>2001/11/1</c:v>
                </c:pt>
                <c:pt idx="11">
                  <c:v>2001/12/1</c:v>
                </c:pt>
                <c:pt idx="12">
                  <c:v>2002/1/1</c:v>
                </c:pt>
                <c:pt idx="13">
                  <c:v>2002/2/1</c:v>
                </c:pt>
                <c:pt idx="14">
                  <c:v>2002/3/1</c:v>
                </c:pt>
                <c:pt idx="15">
                  <c:v>2002/4/1</c:v>
                </c:pt>
                <c:pt idx="16">
                  <c:v>2002/5/1</c:v>
                </c:pt>
                <c:pt idx="17">
                  <c:v>2002/6/1</c:v>
                </c:pt>
                <c:pt idx="18">
                  <c:v>2002/7/1</c:v>
                </c:pt>
                <c:pt idx="19">
                  <c:v>2002/8/1</c:v>
                </c:pt>
                <c:pt idx="20">
                  <c:v>2002/9/1</c:v>
                </c:pt>
                <c:pt idx="21">
                  <c:v>2002/10/1</c:v>
                </c:pt>
                <c:pt idx="22">
                  <c:v>2002/11/1</c:v>
                </c:pt>
                <c:pt idx="23">
                  <c:v>2002/12/1</c:v>
                </c:pt>
                <c:pt idx="24">
                  <c:v>2003/1/1</c:v>
                </c:pt>
                <c:pt idx="25">
                  <c:v>2003/2/1</c:v>
                </c:pt>
                <c:pt idx="26">
                  <c:v>2003/3/1</c:v>
                </c:pt>
                <c:pt idx="27">
                  <c:v>2003/4/1</c:v>
                </c:pt>
                <c:pt idx="28">
                  <c:v>2003/5/1</c:v>
                </c:pt>
                <c:pt idx="29">
                  <c:v>2003/6/1</c:v>
                </c:pt>
                <c:pt idx="30">
                  <c:v>2003/7/1</c:v>
                </c:pt>
                <c:pt idx="31">
                  <c:v>2003/8/1</c:v>
                </c:pt>
                <c:pt idx="32">
                  <c:v>2003/9/1</c:v>
                </c:pt>
                <c:pt idx="33">
                  <c:v>2003/10/1</c:v>
                </c:pt>
                <c:pt idx="34">
                  <c:v>2003/11/1</c:v>
                </c:pt>
                <c:pt idx="35">
                  <c:v>2003/12/1</c:v>
                </c:pt>
                <c:pt idx="36">
                  <c:v>2004/1/1</c:v>
                </c:pt>
                <c:pt idx="37">
                  <c:v>2004/2/1</c:v>
                </c:pt>
                <c:pt idx="38">
                  <c:v>2004/3/1</c:v>
                </c:pt>
                <c:pt idx="39">
                  <c:v>2004/4/1</c:v>
                </c:pt>
                <c:pt idx="40">
                  <c:v>2004/5/1</c:v>
                </c:pt>
                <c:pt idx="41">
                  <c:v>2004/6/1</c:v>
                </c:pt>
                <c:pt idx="42">
                  <c:v>2004/7/1</c:v>
                </c:pt>
                <c:pt idx="43">
                  <c:v>2004/8/1</c:v>
                </c:pt>
                <c:pt idx="44">
                  <c:v>2004/9/1</c:v>
                </c:pt>
                <c:pt idx="45">
                  <c:v>2004/10/1</c:v>
                </c:pt>
                <c:pt idx="46">
                  <c:v>2004/11/1</c:v>
                </c:pt>
                <c:pt idx="47">
                  <c:v>2004/12/1</c:v>
                </c:pt>
                <c:pt idx="48">
                  <c:v>2005/1/1</c:v>
                </c:pt>
                <c:pt idx="49">
                  <c:v>2005/2/1</c:v>
                </c:pt>
                <c:pt idx="50">
                  <c:v>2005/3/1</c:v>
                </c:pt>
                <c:pt idx="51">
                  <c:v>2005/4/1</c:v>
                </c:pt>
                <c:pt idx="52">
                  <c:v>2005/5/1</c:v>
                </c:pt>
                <c:pt idx="53">
                  <c:v>2005/6/1</c:v>
                </c:pt>
                <c:pt idx="54">
                  <c:v>2005/7/1</c:v>
                </c:pt>
                <c:pt idx="55">
                  <c:v>2005/8/1</c:v>
                </c:pt>
                <c:pt idx="56">
                  <c:v>2005/9/1</c:v>
                </c:pt>
                <c:pt idx="57">
                  <c:v>2005/10/1</c:v>
                </c:pt>
                <c:pt idx="58">
                  <c:v>2005/11/1</c:v>
                </c:pt>
                <c:pt idx="59">
                  <c:v>2005/12/1</c:v>
                </c:pt>
                <c:pt idx="60">
                  <c:v>2006/1/1</c:v>
                </c:pt>
                <c:pt idx="61">
                  <c:v>2006/2/1</c:v>
                </c:pt>
                <c:pt idx="62">
                  <c:v>2006/3/1</c:v>
                </c:pt>
                <c:pt idx="63">
                  <c:v>2006/4/1</c:v>
                </c:pt>
                <c:pt idx="64">
                  <c:v>2006/5/1</c:v>
                </c:pt>
                <c:pt idx="65">
                  <c:v>2006/6/1</c:v>
                </c:pt>
                <c:pt idx="66">
                  <c:v>2006/7/1</c:v>
                </c:pt>
                <c:pt idx="67">
                  <c:v>2006/8/1</c:v>
                </c:pt>
                <c:pt idx="68">
                  <c:v>2006/9/1</c:v>
                </c:pt>
                <c:pt idx="69">
                  <c:v>2006/10/1</c:v>
                </c:pt>
                <c:pt idx="70">
                  <c:v>2006/11/1</c:v>
                </c:pt>
                <c:pt idx="71">
                  <c:v>2006/12/1</c:v>
                </c:pt>
                <c:pt idx="72">
                  <c:v>2007/1/1</c:v>
                </c:pt>
                <c:pt idx="73">
                  <c:v>2007/2/1</c:v>
                </c:pt>
                <c:pt idx="74">
                  <c:v>2007/3/1</c:v>
                </c:pt>
                <c:pt idx="75">
                  <c:v>2007/4/1</c:v>
                </c:pt>
                <c:pt idx="76">
                  <c:v>2007/5/1</c:v>
                </c:pt>
                <c:pt idx="77">
                  <c:v>2007/6/1</c:v>
                </c:pt>
                <c:pt idx="78">
                  <c:v>2007/7/1</c:v>
                </c:pt>
                <c:pt idx="79">
                  <c:v>2007/8/1</c:v>
                </c:pt>
                <c:pt idx="80">
                  <c:v>2007/9/1</c:v>
                </c:pt>
                <c:pt idx="81">
                  <c:v>2007/10/1</c:v>
                </c:pt>
                <c:pt idx="82">
                  <c:v>2007/11/1</c:v>
                </c:pt>
                <c:pt idx="83">
                  <c:v>2007/12/1</c:v>
                </c:pt>
                <c:pt idx="84">
                  <c:v>2008/1/1</c:v>
                </c:pt>
                <c:pt idx="85">
                  <c:v>2008/2/1</c:v>
                </c:pt>
                <c:pt idx="86">
                  <c:v>2008/3/1</c:v>
                </c:pt>
                <c:pt idx="87">
                  <c:v>2008/4/1</c:v>
                </c:pt>
                <c:pt idx="88">
                  <c:v>2008/5/1</c:v>
                </c:pt>
                <c:pt idx="89">
                  <c:v>2008/6/1</c:v>
                </c:pt>
                <c:pt idx="90">
                  <c:v>2008/7/1</c:v>
                </c:pt>
                <c:pt idx="91">
                  <c:v>2008/8/1</c:v>
                </c:pt>
                <c:pt idx="92">
                  <c:v>2008/9/1</c:v>
                </c:pt>
                <c:pt idx="93">
                  <c:v>2008/10/1</c:v>
                </c:pt>
                <c:pt idx="94">
                  <c:v>2008/11/1</c:v>
                </c:pt>
                <c:pt idx="95">
                  <c:v>2008/12/1</c:v>
                </c:pt>
                <c:pt idx="96">
                  <c:v>2009/1/1</c:v>
                </c:pt>
                <c:pt idx="97">
                  <c:v>2009/2/1</c:v>
                </c:pt>
                <c:pt idx="98">
                  <c:v>2009/3/1</c:v>
                </c:pt>
                <c:pt idx="99">
                  <c:v>2009/4/1</c:v>
                </c:pt>
                <c:pt idx="100">
                  <c:v>2009/5/1</c:v>
                </c:pt>
                <c:pt idx="101">
                  <c:v>2009/6/1</c:v>
                </c:pt>
                <c:pt idx="102">
                  <c:v>2009/7/1</c:v>
                </c:pt>
                <c:pt idx="103">
                  <c:v>2009/8/1</c:v>
                </c:pt>
                <c:pt idx="104">
                  <c:v>2009/9/1</c:v>
                </c:pt>
                <c:pt idx="105">
                  <c:v>2009/10/1</c:v>
                </c:pt>
                <c:pt idx="106">
                  <c:v>2009/11/1</c:v>
                </c:pt>
                <c:pt idx="107">
                  <c:v>2009/12/1</c:v>
                </c:pt>
                <c:pt idx="108">
                  <c:v>2010/1/1</c:v>
                </c:pt>
                <c:pt idx="109">
                  <c:v>2010/2/1</c:v>
                </c:pt>
                <c:pt idx="110">
                  <c:v>2010/3/1</c:v>
                </c:pt>
                <c:pt idx="111">
                  <c:v>2010/4/1</c:v>
                </c:pt>
                <c:pt idx="112">
                  <c:v>2010/5/1</c:v>
                </c:pt>
                <c:pt idx="113">
                  <c:v>2010/6/1</c:v>
                </c:pt>
                <c:pt idx="114">
                  <c:v>2010/7/1</c:v>
                </c:pt>
                <c:pt idx="115">
                  <c:v>2010/8/1</c:v>
                </c:pt>
                <c:pt idx="116">
                  <c:v>2010/9/1</c:v>
                </c:pt>
                <c:pt idx="117">
                  <c:v>2010/10/1</c:v>
                </c:pt>
                <c:pt idx="118">
                  <c:v>2010/11/1</c:v>
                </c:pt>
                <c:pt idx="119">
                  <c:v>2010/12/1</c:v>
                </c:pt>
                <c:pt idx="120">
                  <c:v>2011/1/1</c:v>
                </c:pt>
                <c:pt idx="121">
                  <c:v>2011/2/1</c:v>
                </c:pt>
                <c:pt idx="122">
                  <c:v>2011/3/1</c:v>
                </c:pt>
                <c:pt idx="123">
                  <c:v>2011/4/1</c:v>
                </c:pt>
                <c:pt idx="124">
                  <c:v>2011/5/1</c:v>
                </c:pt>
                <c:pt idx="125">
                  <c:v>2011/6/1</c:v>
                </c:pt>
                <c:pt idx="126">
                  <c:v>2011/7/1</c:v>
                </c:pt>
                <c:pt idx="127">
                  <c:v>2011/8/1</c:v>
                </c:pt>
                <c:pt idx="128">
                  <c:v>2011/9/1</c:v>
                </c:pt>
                <c:pt idx="129">
                  <c:v>2011/10/1</c:v>
                </c:pt>
                <c:pt idx="130">
                  <c:v>2011/11/1</c:v>
                </c:pt>
                <c:pt idx="131">
                  <c:v>2011/12/1</c:v>
                </c:pt>
                <c:pt idx="132">
                  <c:v>2012/1/1</c:v>
                </c:pt>
                <c:pt idx="133">
                  <c:v>2012/2/1</c:v>
                </c:pt>
                <c:pt idx="134">
                  <c:v>2012/3/1</c:v>
                </c:pt>
                <c:pt idx="135">
                  <c:v>2012/4/1</c:v>
                </c:pt>
                <c:pt idx="136">
                  <c:v>2012/5/1</c:v>
                </c:pt>
                <c:pt idx="137">
                  <c:v>2012/6/1</c:v>
                </c:pt>
                <c:pt idx="138">
                  <c:v>2012/7/1</c:v>
                </c:pt>
                <c:pt idx="139">
                  <c:v>2012/8/1</c:v>
                </c:pt>
                <c:pt idx="140">
                  <c:v>2012/9/1</c:v>
                </c:pt>
                <c:pt idx="141">
                  <c:v>2012/10/1</c:v>
                </c:pt>
                <c:pt idx="142">
                  <c:v>2012/11/1</c:v>
                </c:pt>
                <c:pt idx="143">
                  <c:v>2012/12/1</c:v>
                </c:pt>
                <c:pt idx="144">
                  <c:v>2013/1/1</c:v>
                </c:pt>
                <c:pt idx="145">
                  <c:v>2013/2/1</c:v>
                </c:pt>
                <c:pt idx="146">
                  <c:v>2013/3/1</c:v>
                </c:pt>
                <c:pt idx="147">
                  <c:v>2013/4/1</c:v>
                </c:pt>
                <c:pt idx="148">
                  <c:v>2013/5/1</c:v>
                </c:pt>
                <c:pt idx="149">
                  <c:v>2013/6/1</c:v>
                </c:pt>
                <c:pt idx="150">
                  <c:v>2013/7/1</c:v>
                </c:pt>
                <c:pt idx="151">
                  <c:v>2013/8/1</c:v>
                </c:pt>
                <c:pt idx="152">
                  <c:v>2013/9/1</c:v>
                </c:pt>
                <c:pt idx="153">
                  <c:v>2013/10/1</c:v>
                </c:pt>
                <c:pt idx="154">
                  <c:v>2013/11/1</c:v>
                </c:pt>
                <c:pt idx="155">
                  <c:v>2013/12/1</c:v>
                </c:pt>
                <c:pt idx="156">
                  <c:v>2014/1/1</c:v>
                </c:pt>
                <c:pt idx="157">
                  <c:v>2014/2/1</c:v>
                </c:pt>
                <c:pt idx="158">
                  <c:v>2014/3/1</c:v>
                </c:pt>
                <c:pt idx="159">
                  <c:v>2014/4/1</c:v>
                </c:pt>
                <c:pt idx="160">
                  <c:v>2014/5/1</c:v>
                </c:pt>
                <c:pt idx="161">
                  <c:v>2014/6/1</c:v>
                </c:pt>
                <c:pt idx="162">
                  <c:v>2014/7/1</c:v>
                </c:pt>
                <c:pt idx="163">
                  <c:v>2014/8/1</c:v>
                </c:pt>
                <c:pt idx="164">
                  <c:v>2014/9/1</c:v>
                </c:pt>
                <c:pt idx="165">
                  <c:v>2014/10/1</c:v>
                </c:pt>
                <c:pt idx="166">
                  <c:v>2014/11/1</c:v>
                </c:pt>
                <c:pt idx="167">
                  <c:v>2014/12/1</c:v>
                </c:pt>
                <c:pt idx="168">
                  <c:v>2015/1/1</c:v>
                </c:pt>
                <c:pt idx="169">
                  <c:v>2015/2/1</c:v>
                </c:pt>
                <c:pt idx="170">
                  <c:v>2015/3/1</c:v>
                </c:pt>
                <c:pt idx="171">
                  <c:v>2015/4/1</c:v>
                </c:pt>
                <c:pt idx="172">
                  <c:v>2015/5/1</c:v>
                </c:pt>
                <c:pt idx="173">
                  <c:v>2015/6/1</c:v>
                </c:pt>
                <c:pt idx="174">
                  <c:v>2015/7/1</c:v>
                </c:pt>
                <c:pt idx="175">
                  <c:v>2015/8/1</c:v>
                </c:pt>
                <c:pt idx="176">
                  <c:v>2015/9/1</c:v>
                </c:pt>
                <c:pt idx="177">
                  <c:v>2015/10/1</c:v>
                </c:pt>
                <c:pt idx="178">
                  <c:v>2015/11/1</c:v>
                </c:pt>
                <c:pt idx="179">
                  <c:v>2015/12/1</c:v>
                </c:pt>
                <c:pt idx="180">
                  <c:v>2016/1/1</c:v>
                </c:pt>
                <c:pt idx="181">
                  <c:v>2016/2/1</c:v>
                </c:pt>
                <c:pt idx="182">
                  <c:v>2016/3/1</c:v>
                </c:pt>
                <c:pt idx="183">
                  <c:v>2016/4/1</c:v>
                </c:pt>
                <c:pt idx="184">
                  <c:v>2016/5/1</c:v>
                </c:pt>
                <c:pt idx="185">
                  <c:v>2016/6/1</c:v>
                </c:pt>
                <c:pt idx="186">
                  <c:v>2016/7/1</c:v>
                </c:pt>
                <c:pt idx="187">
                  <c:v>2016/8/1</c:v>
                </c:pt>
                <c:pt idx="188">
                  <c:v>2016/9/1</c:v>
                </c:pt>
                <c:pt idx="189">
                  <c:v>2016/10/1</c:v>
                </c:pt>
                <c:pt idx="190">
                  <c:v>2016/11/1</c:v>
                </c:pt>
                <c:pt idx="191">
                  <c:v>2016/12/1</c:v>
                </c:pt>
                <c:pt idx="192">
                  <c:v>2017/1/1</c:v>
                </c:pt>
                <c:pt idx="193">
                  <c:v>2017/2/1</c:v>
                </c:pt>
                <c:pt idx="194">
                  <c:v>2017/3/1</c:v>
                </c:pt>
                <c:pt idx="195">
                  <c:v>2017/4/1</c:v>
                </c:pt>
                <c:pt idx="196">
                  <c:v>2017/5/1</c:v>
                </c:pt>
                <c:pt idx="197">
                  <c:v>2017/6/1</c:v>
                </c:pt>
                <c:pt idx="198">
                  <c:v>2017/7/1</c:v>
                </c:pt>
                <c:pt idx="199">
                  <c:v>2017/8/1</c:v>
                </c:pt>
                <c:pt idx="200">
                  <c:v>2017/9/1</c:v>
                </c:pt>
                <c:pt idx="201">
                  <c:v>2017/10/1</c:v>
                </c:pt>
                <c:pt idx="202">
                  <c:v>2017/11/1</c:v>
                </c:pt>
                <c:pt idx="203">
                  <c:v>2017/12/1</c:v>
                </c:pt>
                <c:pt idx="204">
                  <c:v>2018/1/1</c:v>
                </c:pt>
                <c:pt idx="205">
                  <c:v>2018/2/1</c:v>
                </c:pt>
                <c:pt idx="206">
                  <c:v>2018/3/1</c:v>
                </c:pt>
                <c:pt idx="207">
                  <c:v>2018/4/1</c:v>
                </c:pt>
                <c:pt idx="208">
                  <c:v>2018/5/1</c:v>
                </c:pt>
                <c:pt idx="209">
                  <c:v>2018/6/1</c:v>
                </c:pt>
                <c:pt idx="210">
                  <c:v>2018/7/1</c:v>
                </c:pt>
                <c:pt idx="211">
                  <c:v>2018/8/1</c:v>
                </c:pt>
                <c:pt idx="212">
                  <c:v>2018/9/1</c:v>
                </c:pt>
                <c:pt idx="213">
                  <c:v>2018/10/1</c:v>
                </c:pt>
                <c:pt idx="214">
                  <c:v>2018/11/1</c:v>
                </c:pt>
                <c:pt idx="215">
                  <c:v>2018/12/1</c:v>
                </c:pt>
                <c:pt idx="216">
                  <c:v>2019/1/1</c:v>
                </c:pt>
                <c:pt idx="217">
                  <c:v>2019/2/1</c:v>
                </c:pt>
                <c:pt idx="218">
                  <c:v>2019/3/1</c:v>
                </c:pt>
                <c:pt idx="219">
                  <c:v>2019/4/1</c:v>
                </c:pt>
                <c:pt idx="220">
                  <c:v>2019/5/1</c:v>
                </c:pt>
                <c:pt idx="221">
                  <c:v>2019/6/1</c:v>
                </c:pt>
                <c:pt idx="222">
                  <c:v>2019/7/1</c:v>
                </c:pt>
                <c:pt idx="223">
                  <c:v>2019/8/1</c:v>
                </c:pt>
                <c:pt idx="224">
                  <c:v>2019/9/1</c:v>
                </c:pt>
                <c:pt idx="225">
                  <c:v>2019/10/1</c:v>
                </c:pt>
                <c:pt idx="226">
                  <c:v>2019/11/1</c:v>
                </c:pt>
                <c:pt idx="227">
                  <c:v>2019/12/1</c:v>
                </c:pt>
                <c:pt idx="228">
                  <c:v>2020/1/1</c:v>
                </c:pt>
                <c:pt idx="229">
                  <c:v>2020/2/1</c:v>
                </c:pt>
                <c:pt idx="230">
                  <c:v>2020/3/1</c:v>
                </c:pt>
                <c:pt idx="231">
                  <c:v>2020/4/1</c:v>
                </c:pt>
                <c:pt idx="232">
                  <c:v>2020/5/1</c:v>
                </c:pt>
                <c:pt idx="233">
                  <c:v>2020/6/1</c:v>
                </c:pt>
                <c:pt idx="234">
                  <c:v>2020/7/1</c:v>
                </c:pt>
                <c:pt idx="235">
                  <c:v>2020/8/1</c:v>
                </c:pt>
                <c:pt idx="236">
                  <c:v>2020/9/1</c:v>
                </c:pt>
                <c:pt idx="237">
                  <c:v>2020/10/1</c:v>
                </c:pt>
                <c:pt idx="238">
                  <c:v>2020/11/1</c:v>
                </c:pt>
                <c:pt idx="239">
                  <c:v>2020/12/1</c:v>
                </c:pt>
                <c:pt idx="240">
                  <c:v>2021/1/1</c:v>
                </c:pt>
                <c:pt idx="241">
                  <c:v>2021/2/1</c:v>
                </c:pt>
                <c:pt idx="242">
                  <c:v>2021/3/1</c:v>
                </c:pt>
                <c:pt idx="243">
                  <c:v>2021/4/1</c:v>
                </c:pt>
                <c:pt idx="244">
                  <c:v>2021/5/1</c:v>
                </c:pt>
                <c:pt idx="245">
                  <c:v>2021/6/1</c:v>
                </c:pt>
                <c:pt idx="246">
                  <c:v>2021/7/1</c:v>
                </c:pt>
                <c:pt idx="247">
                  <c:v>2021/8/1</c:v>
                </c:pt>
                <c:pt idx="248">
                  <c:v>2021/9/1</c:v>
                </c:pt>
                <c:pt idx="249">
                  <c:v>2021/10/1</c:v>
                </c:pt>
                <c:pt idx="250">
                  <c:v>2021/11/1</c:v>
                </c:pt>
                <c:pt idx="251">
                  <c:v>2021/12/1</c:v>
                </c:pt>
                <c:pt idx="252">
                  <c:v>2022/1/1</c:v>
                </c:pt>
                <c:pt idx="253">
                  <c:v>2022/2/1</c:v>
                </c:pt>
                <c:pt idx="254">
                  <c:v>2022/3/1</c:v>
                </c:pt>
                <c:pt idx="255">
                  <c:v>2022/4/1</c:v>
                </c:pt>
                <c:pt idx="256">
                  <c:v>2022/5/1</c:v>
                </c:pt>
                <c:pt idx="257">
                  <c:v>2022/6/1</c:v>
                </c:pt>
                <c:pt idx="258">
                  <c:v>2022/7/1</c:v>
                </c:pt>
                <c:pt idx="259">
                  <c:v>2022/8/1</c:v>
                </c:pt>
                <c:pt idx="260">
                  <c:v>2022/9/1</c:v>
                </c:pt>
                <c:pt idx="261">
                  <c:v>2022/10/1</c:v>
                </c:pt>
                <c:pt idx="262">
                  <c:v>2022/11/1</c:v>
                </c:pt>
                <c:pt idx="263">
                  <c:v>2022/12/1</c:v>
                </c:pt>
                <c:pt idx="264">
                  <c:v>2023/1/1</c:v>
                </c:pt>
                <c:pt idx="265">
                  <c:v>2023/2/1</c:v>
                </c:pt>
                <c:pt idx="266">
                  <c:v>2023/3/1</c:v>
                </c:pt>
                <c:pt idx="267">
                  <c:v>2023/4/1</c:v>
                </c:pt>
                <c:pt idx="268">
                  <c:v>2023/5/1</c:v>
                </c:pt>
                <c:pt idx="269">
                  <c:v>2023/6/1</c:v>
                </c:pt>
                <c:pt idx="270">
                  <c:v>2023/7/1</c:v>
                </c:pt>
                <c:pt idx="271">
                  <c:v>2023/8/1</c:v>
                </c:pt>
                <c:pt idx="272">
                  <c:v>2023/9/1</c:v>
                </c:pt>
                <c:pt idx="273">
                  <c:v>2023/10/1</c:v>
                </c:pt>
                <c:pt idx="274">
                  <c:v>2023/11/1</c:v>
                </c:pt>
                <c:pt idx="275">
                  <c:v>2023/12/1</c:v>
                </c:pt>
                <c:pt idx="276">
                  <c:v>2024/1/1</c:v>
                </c:pt>
                <c:pt idx="277">
                  <c:v>2024/2/1</c:v>
                </c:pt>
                <c:pt idx="278">
                  <c:v>2024/3/1</c:v>
                </c:pt>
                <c:pt idx="279">
                  <c:v>2024/4/1</c:v>
                </c:pt>
                <c:pt idx="280">
                  <c:v>2024/5/1</c:v>
                </c:pt>
                <c:pt idx="281">
                  <c:v>2024/6/1</c:v>
                </c:pt>
                <c:pt idx="282">
                  <c:v>2024/7/1</c:v>
                </c:pt>
                <c:pt idx="283">
                  <c:v>2024/8/1</c:v>
                </c:pt>
                <c:pt idx="284">
                  <c:v>2024/9/1</c:v>
                </c:pt>
                <c:pt idx="285">
                  <c:v>2024/10/1</c:v>
                </c:pt>
                <c:pt idx="286">
                  <c:v>2024/11/1</c:v>
                </c:pt>
                <c:pt idx="287">
                  <c:v>2024/12/1</c:v>
                </c:pt>
                <c:pt idx="288">
                  <c:v>2025/1/1</c:v>
                </c:pt>
                <c:pt idx="289">
                  <c:v>2025/2/1</c:v>
                </c:pt>
                <c:pt idx="290">
                  <c:v>2025/3/1</c:v>
                </c:pt>
                <c:pt idx="291">
                  <c:v>2025/4/1</c:v>
                </c:pt>
                <c:pt idx="292">
                  <c:v>2025/5/1</c:v>
                </c:pt>
                <c:pt idx="293">
                  <c:v>2025/6/1</c:v>
                </c:pt>
                <c:pt idx="294">
                  <c:v>2025/7/1</c:v>
                </c:pt>
                <c:pt idx="295">
                  <c:v>2025/8/1</c:v>
                </c:pt>
                <c:pt idx="296">
                  <c:v>2025/9/1</c:v>
                </c:pt>
                <c:pt idx="297">
                  <c:v>2025/10/1</c:v>
                </c:pt>
                <c:pt idx="298">
                  <c:v>2025/11/1</c:v>
                </c:pt>
                <c:pt idx="299">
                  <c:v>2025/12/1</c:v>
                </c:pt>
              </c:strCache>
            </c:strRef>
          </c:cat>
          <c:val>
            <c:numRef>
              <c:f>分析!$B$7:$KO$7</c:f>
              <c:numCache>
                <c:formatCode>General</c:formatCode>
                <c:ptCount val="300"/>
                <c:pt idx="0">
                  <c:v>34.2</c:v>
                </c:pt>
                <c:pt idx="1">
                  <c:v>36.5</c:v>
                </c:pt>
                <c:pt idx="2">
                  <c:v>41</c:v>
                </c:pt>
                <c:pt idx="3">
                  <c:v>45.8</c:v>
                </c:pt>
                <c:pt idx="4">
                  <c:v>51.2</c:v>
                </c:pt>
                <c:pt idx="5">
                  <c:v>58.4</c:v>
                </c:pt>
                <c:pt idx="6">
                  <c:v>62.5</c:v>
                </c:pt>
                <c:pt idx="7">
                  <c:v>59.2</c:v>
                </c:pt>
                <c:pt idx="8">
                  <c:v>51</c:v>
                </c:pt>
                <c:pt idx="9">
                  <c:v>42.5</c:v>
                </c:pt>
                <c:pt idx="10">
                  <c:v>36.8</c:v>
                </c:pt>
                <c:pt idx="11">
                  <c:v>34.5</c:v>
                </c:pt>
                <c:pt idx="12">
                  <c:v>35.8</c:v>
                </c:pt>
                <c:pt idx="13">
                  <c:v>38.2</c:v>
                </c:pt>
                <c:pt idx="14">
                  <c:v>43.5</c:v>
                </c:pt>
                <c:pt idx="15">
                  <c:v>49.2</c:v>
                </c:pt>
                <c:pt idx="16">
                  <c:v>55.8</c:v>
                </c:pt>
                <c:pt idx="17">
                  <c:v>64.2</c:v>
                </c:pt>
                <c:pt idx="18">
                  <c:v>71.5</c:v>
                </c:pt>
                <c:pt idx="19">
                  <c:v>65.5</c:v>
                </c:pt>
                <c:pt idx="20">
                  <c:v>54.8</c:v>
                </c:pt>
                <c:pt idx="21">
                  <c:v>46.5</c:v>
                </c:pt>
                <c:pt idx="22">
                  <c:v>39.2</c:v>
                </c:pt>
                <c:pt idx="23">
                  <c:v>37</c:v>
                </c:pt>
                <c:pt idx="24">
                  <c:v>35.2</c:v>
                </c:pt>
                <c:pt idx="25">
                  <c:v>37.5</c:v>
                </c:pt>
                <c:pt idx="26">
                  <c:v>42.8</c:v>
                </c:pt>
                <c:pt idx="27">
                  <c:v>48.5</c:v>
                </c:pt>
                <c:pt idx="28">
                  <c:v>54.2</c:v>
                </c:pt>
                <c:pt idx="29">
                  <c:v>62.5</c:v>
                </c:pt>
                <c:pt idx="30">
                  <c:v>70.8</c:v>
                </c:pt>
                <c:pt idx="31">
                  <c:v>63.4</c:v>
                </c:pt>
                <c:pt idx="32">
                  <c:v>52.5</c:v>
                </c:pt>
                <c:pt idx="33">
                  <c:v>45.2</c:v>
                </c:pt>
                <c:pt idx="34">
                  <c:v>28.5</c:v>
                </c:pt>
                <c:pt idx="35">
                  <c:v>33.2</c:v>
                </c:pt>
                <c:pt idx="36">
                  <c:v>36.5</c:v>
                </c:pt>
                <c:pt idx="37">
                  <c:v>38.4</c:v>
                </c:pt>
                <c:pt idx="38">
                  <c:v>44.2</c:v>
                </c:pt>
                <c:pt idx="39">
                  <c:v>49.8</c:v>
                </c:pt>
                <c:pt idx="40">
                  <c:v>56.2</c:v>
                </c:pt>
                <c:pt idx="41">
                  <c:v>63.5</c:v>
                </c:pt>
                <c:pt idx="42">
                  <c:v>69.2</c:v>
                </c:pt>
                <c:pt idx="43">
                  <c:v>62.4</c:v>
                </c:pt>
                <c:pt idx="44">
                  <c:v>51.5</c:v>
                </c:pt>
                <c:pt idx="45">
                  <c:v>45.8</c:v>
                </c:pt>
                <c:pt idx="46">
                  <c:v>39.5</c:v>
                </c:pt>
                <c:pt idx="47">
                  <c:v>36.2</c:v>
                </c:pt>
                <c:pt idx="48">
                  <c:v>35.2</c:v>
                </c:pt>
                <c:pt idx="49">
                  <c:v>37.8</c:v>
                </c:pt>
                <c:pt idx="50">
                  <c:v>43</c:v>
                </c:pt>
                <c:pt idx="51">
                  <c:v>48.2</c:v>
                </c:pt>
                <c:pt idx="52">
                  <c:v>54.5</c:v>
                </c:pt>
                <c:pt idx="53">
                  <c:v>61.5</c:v>
                </c:pt>
                <c:pt idx="54">
                  <c:v>67.5</c:v>
                </c:pt>
                <c:pt idx="55">
                  <c:v>61.2</c:v>
                </c:pt>
                <c:pt idx="56">
                  <c:v>48.5</c:v>
                </c:pt>
                <c:pt idx="57">
                  <c:v>44.5</c:v>
                </c:pt>
                <c:pt idx="58">
                  <c:v>38.2</c:v>
                </c:pt>
                <c:pt idx="59">
                  <c:v>35.5</c:v>
                </c:pt>
                <c:pt idx="60">
                  <c:v>33.5</c:v>
                </c:pt>
                <c:pt idx="61">
                  <c:v>35.2</c:v>
                </c:pt>
                <c:pt idx="62">
                  <c:v>39.8</c:v>
                </c:pt>
                <c:pt idx="63">
                  <c:v>45.2</c:v>
                </c:pt>
                <c:pt idx="64">
                  <c:v>51.2</c:v>
                </c:pt>
                <c:pt idx="65">
                  <c:v>59.5</c:v>
                </c:pt>
                <c:pt idx="66">
                  <c:v>65.2</c:v>
                </c:pt>
                <c:pt idx="67">
                  <c:v>58.2</c:v>
                </c:pt>
                <c:pt idx="68">
                  <c:v>46.5</c:v>
                </c:pt>
                <c:pt idx="69">
                  <c:v>41.5</c:v>
                </c:pt>
                <c:pt idx="70">
                  <c:v>36.2</c:v>
                </c:pt>
                <c:pt idx="71">
                  <c:v>33.8</c:v>
                </c:pt>
                <c:pt idx="72">
                  <c:v>32.8</c:v>
                </c:pt>
                <c:pt idx="73">
                  <c:v>34.5</c:v>
                </c:pt>
                <c:pt idx="74">
                  <c:v>38.2</c:v>
                </c:pt>
                <c:pt idx="75">
                  <c:v>43.5</c:v>
                </c:pt>
                <c:pt idx="76">
                  <c:v>49.5</c:v>
                </c:pt>
                <c:pt idx="77">
                  <c:v>56.8</c:v>
                </c:pt>
                <c:pt idx="78">
                  <c:v>61.2</c:v>
                </c:pt>
                <c:pt idx="79">
                  <c:v>54.2</c:v>
                </c:pt>
                <c:pt idx="80">
                  <c:v>44.5</c:v>
                </c:pt>
                <c:pt idx="81">
                  <c:v>39.2</c:v>
                </c:pt>
                <c:pt idx="82">
                  <c:v>34.2</c:v>
                </c:pt>
                <c:pt idx="83">
                  <c:v>31.5</c:v>
                </c:pt>
                <c:pt idx="84">
                  <c:v>31.5</c:v>
                </c:pt>
                <c:pt idx="85">
                  <c:v>33.2</c:v>
                </c:pt>
                <c:pt idx="86">
                  <c:v>36.5</c:v>
                </c:pt>
                <c:pt idx="87">
                  <c:v>41.5</c:v>
                </c:pt>
                <c:pt idx="88">
                  <c:v>47.2</c:v>
                </c:pt>
                <c:pt idx="89">
                  <c:v>54.5</c:v>
                </c:pt>
                <c:pt idx="90">
                  <c:v>58.5</c:v>
                </c:pt>
                <c:pt idx="91">
                  <c:v>51.2</c:v>
                </c:pt>
                <c:pt idx="92">
                  <c:v>42.4</c:v>
                </c:pt>
                <c:pt idx="93">
                  <c:v>37.5</c:v>
                </c:pt>
                <c:pt idx="94">
                  <c:v>32.5</c:v>
                </c:pt>
                <c:pt idx="95">
                  <c:v>30.5</c:v>
                </c:pt>
                <c:pt idx="96">
                  <c:v>30.8</c:v>
                </c:pt>
                <c:pt idx="97">
                  <c:v>32.5</c:v>
                </c:pt>
                <c:pt idx="98">
                  <c:v>35.8</c:v>
                </c:pt>
                <c:pt idx="99">
                  <c:v>40.2</c:v>
                </c:pt>
                <c:pt idx="100">
                  <c:v>45.8</c:v>
                </c:pt>
                <c:pt idx="101">
                  <c:v>53.2</c:v>
                </c:pt>
                <c:pt idx="102">
                  <c:v>57.5</c:v>
                </c:pt>
                <c:pt idx="103">
                  <c:v>50.5</c:v>
                </c:pt>
                <c:pt idx="104">
                  <c:v>41.5</c:v>
                </c:pt>
                <c:pt idx="105">
                  <c:v>36.8</c:v>
                </c:pt>
                <c:pt idx="106">
                  <c:v>31.8</c:v>
                </c:pt>
                <c:pt idx="107">
                  <c:v>30.2</c:v>
                </c:pt>
                <c:pt idx="108">
                  <c:v>31.2</c:v>
                </c:pt>
                <c:pt idx="109">
                  <c:v>33.5</c:v>
                </c:pt>
                <c:pt idx="110">
                  <c:v>36.8</c:v>
                </c:pt>
                <c:pt idx="111">
                  <c:v>42.5</c:v>
                </c:pt>
                <c:pt idx="112">
                  <c:v>48.5</c:v>
                </c:pt>
                <c:pt idx="113">
                  <c:v>56.2</c:v>
                </c:pt>
                <c:pt idx="114">
                  <c:v>60.5</c:v>
                </c:pt>
                <c:pt idx="115">
                  <c:v>53.5</c:v>
                </c:pt>
                <c:pt idx="116">
                  <c:v>44.2</c:v>
                </c:pt>
                <c:pt idx="117">
                  <c:v>38.5</c:v>
                </c:pt>
                <c:pt idx="118">
                  <c:v>33.2</c:v>
                </c:pt>
                <c:pt idx="119">
                  <c:v>31.8</c:v>
                </c:pt>
                <c:pt idx="120">
                  <c:v>32.5</c:v>
                </c:pt>
                <c:pt idx="121">
                  <c:v>34.8</c:v>
                </c:pt>
                <c:pt idx="122">
                  <c:v>38.5</c:v>
                </c:pt>
                <c:pt idx="123">
                  <c:v>45.2</c:v>
                </c:pt>
                <c:pt idx="124">
                  <c:v>52.4</c:v>
                </c:pt>
                <c:pt idx="125">
                  <c:v>60.5</c:v>
                </c:pt>
                <c:pt idx="126">
                  <c:v>66.2</c:v>
                </c:pt>
                <c:pt idx="127">
                  <c:v>58.5</c:v>
                </c:pt>
                <c:pt idx="128">
                  <c:v>48.8</c:v>
                </c:pt>
                <c:pt idx="129">
                  <c:v>42.5</c:v>
                </c:pt>
                <c:pt idx="130">
                  <c:v>36.5</c:v>
                </c:pt>
                <c:pt idx="131">
                  <c:v>34.2</c:v>
                </c:pt>
                <c:pt idx="132">
                  <c:v>34.5</c:v>
                </c:pt>
                <c:pt idx="133">
                  <c:v>36.2</c:v>
                </c:pt>
                <c:pt idx="134">
                  <c:v>41.2</c:v>
                </c:pt>
                <c:pt idx="135">
                  <c:v>48.5</c:v>
                </c:pt>
                <c:pt idx="136">
                  <c:v>55.8</c:v>
                </c:pt>
                <c:pt idx="137">
                  <c:v>64.2</c:v>
                </c:pt>
                <c:pt idx="138">
                  <c:v>70.5</c:v>
                </c:pt>
                <c:pt idx="139">
                  <c:v>62.5</c:v>
                </c:pt>
                <c:pt idx="140">
                  <c:v>51.2</c:v>
                </c:pt>
                <c:pt idx="141">
                  <c:v>44.5</c:v>
                </c:pt>
                <c:pt idx="142">
                  <c:v>38.8</c:v>
                </c:pt>
                <c:pt idx="143">
                  <c:v>36.5</c:v>
                </c:pt>
                <c:pt idx="144">
                  <c:v>35.5</c:v>
                </c:pt>
                <c:pt idx="145">
                  <c:v>37.2</c:v>
                </c:pt>
                <c:pt idx="146">
                  <c:v>42.5</c:v>
                </c:pt>
                <c:pt idx="147">
                  <c:v>49.2</c:v>
                </c:pt>
                <c:pt idx="148">
                  <c:v>56.5</c:v>
                </c:pt>
                <c:pt idx="149">
                  <c:v>65.5</c:v>
                </c:pt>
                <c:pt idx="150">
                  <c:v>71.8</c:v>
                </c:pt>
                <c:pt idx="151">
                  <c:v>64.2</c:v>
                </c:pt>
                <c:pt idx="152">
                  <c:v>52.4</c:v>
                </c:pt>
                <c:pt idx="153">
                  <c:v>46.2</c:v>
                </c:pt>
                <c:pt idx="154">
                  <c:v>39.5</c:v>
                </c:pt>
                <c:pt idx="155">
                  <c:v>36.8</c:v>
                </c:pt>
                <c:pt idx="156">
                  <c:v>36.2</c:v>
                </c:pt>
                <c:pt idx="157">
                  <c:v>38.5</c:v>
                </c:pt>
                <c:pt idx="158">
                  <c:v>43.2</c:v>
                </c:pt>
                <c:pt idx="159">
                  <c:v>49.8</c:v>
                </c:pt>
                <c:pt idx="160">
                  <c:v>57.5</c:v>
                </c:pt>
                <c:pt idx="161">
                  <c:v>66.8</c:v>
                </c:pt>
                <c:pt idx="162">
                  <c:v>72.5</c:v>
                </c:pt>
                <c:pt idx="163">
                  <c:v>65.2</c:v>
                </c:pt>
                <c:pt idx="164">
                  <c:v>54.2</c:v>
                </c:pt>
                <c:pt idx="165">
                  <c:v>47.5</c:v>
                </c:pt>
                <c:pt idx="166">
                  <c:v>41.2</c:v>
                </c:pt>
                <c:pt idx="167">
                  <c:v>38.2</c:v>
                </c:pt>
                <c:pt idx="168">
                  <c:v>35.8</c:v>
                </c:pt>
                <c:pt idx="169">
                  <c:v>37.5</c:v>
                </c:pt>
                <c:pt idx="170">
                  <c:v>42.5</c:v>
                </c:pt>
                <c:pt idx="171">
                  <c:v>31.2</c:v>
                </c:pt>
                <c:pt idx="172">
                  <c:v>48.5</c:v>
                </c:pt>
                <c:pt idx="173">
                  <c:v>59.2</c:v>
                </c:pt>
                <c:pt idx="174">
                  <c:v>68.5</c:v>
                </c:pt>
                <c:pt idx="175">
                  <c:v>61.5</c:v>
                </c:pt>
                <c:pt idx="176">
                  <c:v>51</c:v>
                </c:pt>
                <c:pt idx="177">
                  <c:v>45.2</c:v>
                </c:pt>
                <c:pt idx="178">
                  <c:v>39.2</c:v>
                </c:pt>
                <c:pt idx="179">
                  <c:v>36.5</c:v>
                </c:pt>
                <c:pt idx="180">
                  <c:v>34.2</c:v>
                </c:pt>
                <c:pt idx="181">
                  <c:v>35.8</c:v>
                </c:pt>
                <c:pt idx="182">
                  <c:v>40.5</c:v>
                </c:pt>
                <c:pt idx="183">
                  <c:v>46.2</c:v>
                </c:pt>
                <c:pt idx="184">
                  <c:v>52.5</c:v>
                </c:pt>
                <c:pt idx="185">
                  <c:v>59.8</c:v>
                </c:pt>
                <c:pt idx="186">
                  <c:v>64.5</c:v>
                </c:pt>
                <c:pt idx="187">
                  <c:v>57.2</c:v>
                </c:pt>
                <c:pt idx="188">
                  <c:v>48.2</c:v>
                </c:pt>
                <c:pt idx="189">
                  <c:v>42.5</c:v>
                </c:pt>
                <c:pt idx="190">
                  <c:v>36.8</c:v>
                </c:pt>
                <c:pt idx="191">
                  <c:v>34.5</c:v>
                </c:pt>
                <c:pt idx="192">
                  <c:v>32.8</c:v>
                </c:pt>
                <c:pt idx="193">
                  <c:v>34.2</c:v>
                </c:pt>
                <c:pt idx="194">
                  <c:v>38.5</c:v>
                </c:pt>
                <c:pt idx="195">
                  <c:v>44.2</c:v>
                </c:pt>
                <c:pt idx="196">
                  <c:v>51.2</c:v>
                </c:pt>
                <c:pt idx="197">
                  <c:v>58.2</c:v>
                </c:pt>
                <c:pt idx="198">
                  <c:v>62.5</c:v>
                </c:pt>
                <c:pt idx="199">
                  <c:v>54.5</c:v>
                </c:pt>
                <c:pt idx="200">
                  <c:v>46.5</c:v>
                </c:pt>
                <c:pt idx="201">
                  <c:v>32.2</c:v>
                </c:pt>
                <c:pt idx="202">
                  <c:v>34.5</c:v>
                </c:pt>
                <c:pt idx="203">
                  <c:v>31.5</c:v>
                </c:pt>
                <c:pt idx="204">
                  <c:v>31.5</c:v>
                </c:pt>
                <c:pt idx="205">
                  <c:v>32.8</c:v>
                </c:pt>
                <c:pt idx="206">
                  <c:v>36.2</c:v>
                </c:pt>
                <c:pt idx="207">
                  <c:v>41.8</c:v>
                </c:pt>
                <c:pt idx="208">
                  <c:v>47.5</c:v>
                </c:pt>
                <c:pt idx="209">
                  <c:v>54.2</c:v>
                </c:pt>
                <c:pt idx="210">
                  <c:v>59.5</c:v>
                </c:pt>
                <c:pt idx="211">
                  <c:v>51.5</c:v>
                </c:pt>
                <c:pt idx="212">
                  <c:v>42.5</c:v>
                </c:pt>
                <c:pt idx="213">
                  <c:v>37.2</c:v>
                </c:pt>
                <c:pt idx="214">
                  <c:v>32.5</c:v>
                </c:pt>
                <c:pt idx="215">
                  <c:v>30.8</c:v>
                </c:pt>
                <c:pt idx="216">
                  <c:v>30.5</c:v>
                </c:pt>
                <c:pt idx="217">
                  <c:v>31.8</c:v>
                </c:pt>
                <c:pt idx="218">
                  <c:v>34.5</c:v>
                </c:pt>
                <c:pt idx="219">
                  <c:v>39.2</c:v>
                </c:pt>
                <c:pt idx="220">
                  <c:v>44.5</c:v>
                </c:pt>
                <c:pt idx="221">
                  <c:v>52.5</c:v>
                </c:pt>
                <c:pt idx="222">
                  <c:v>56.8</c:v>
                </c:pt>
                <c:pt idx="223">
                  <c:v>49.5</c:v>
                </c:pt>
                <c:pt idx="224">
                  <c:v>40.5</c:v>
                </c:pt>
                <c:pt idx="225">
                  <c:v>35.8</c:v>
                </c:pt>
                <c:pt idx="226">
                  <c:v>31.2</c:v>
                </c:pt>
                <c:pt idx="227">
                  <c:v>29.8</c:v>
                </c:pt>
                <c:pt idx="228">
                  <c:v>30.2</c:v>
                </c:pt>
                <c:pt idx="229">
                  <c:v>31.5</c:v>
                </c:pt>
                <c:pt idx="230">
                  <c:v>34.8</c:v>
                </c:pt>
                <c:pt idx="231">
                  <c:v>40.5</c:v>
                </c:pt>
                <c:pt idx="232">
                  <c:v>46.2</c:v>
                </c:pt>
                <c:pt idx="233">
                  <c:v>53.5</c:v>
                </c:pt>
                <c:pt idx="234">
                  <c:v>58.2</c:v>
                </c:pt>
                <c:pt idx="235">
                  <c:v>51.2</c:v>
                </c:pt>
                <c:pt idx="236">
                  <c:v>42.2</c:v>
                </c:pt>
                <c:pt idx="237">
                  <c:v>36.5</c:v>
                </c:pt>
                <c:pt idx="238">
                  <c:v>31.8</c:v>
                </c:pt>
                <c:pt idx="239">
                  <c:v>30.5</c:v>
                </c:pt>
                <c:pt idx="240">
                  <c:v>31.2</c:v>
                </c:pt>
                <c:pt idx="241">
                  <c:v>32.5</c:v>
                </c:pt>
                <c:pt idx="242">
                  <c:v>35.8</c:v>
                </c:pt>
                <c:pt idx="243">
                  <c:v>42.5</c:v>
                </c:pt>
                <c:pt idx="244">
                  <c:v>48.8</c:v>
                </c:pt>
                <c:pt idx="245">
                  <c:v>56.2</c:v>
                </c:pt>
                <c:pt idx="246">
                  <c:v>61.5</c:v>
                </c:pt>
                <c:pt idx="247">
                  <c:v>54.2</c:v>
                </c:pt>
                <c:pt idx="248">
                  <c:v>45.8</c:v>
                </c:pt>
                <c:pt idx="249">
                  <c:v>39.2</c:v>
                </c:pt>
                <c:pt idx="250">
                  <c:v>34.2</c:v>
                </c:pt>
                <c:pt idx="251">
                  <c:v>32.5</c:v>
                </c:pt>
                <c:pt idx="252">
                  <c:v>32.2</c:v>
                </c:pt>
                <c:pt idx="253">
                  <c:v>33.8</c:v>
                </c:pt>
                <c:pt idx="254">
                  <c:v>37.5</c:v>
                </c:pt>
                <c:pt idx="255">
                  <c:v>45.2</c:v>
                </c:pt>
                <c:pt idx="256">
                  <c:v>53.5</c:v>
                </c:pt>
                <c:pt idx="257">
                  <c:v>61.2</c:v>
                </c:pt>
                <c:pt idx="258">
                  <c:v>68.5</c:v>
                </c:pt>
                <c:pt idx="259">
                  <c:v>60.5</c:v>
                </c:pt>
                <c:pt idx="260">
                  <c:v>50.8</c:v>
                </c:pt>
                <c:pt idx="261">
                  <c:v>43.2</c:v>
                </c:pt>
                <c:pt idx="262">
                  <c:v>38.2</c:v>
                </c:pt>
                <c:pt idx="263">
                  <c:v>35.5</c:v>
                </c:pt>
                <c:pt idx="264">
                  <c:v>33.5</c:v>
                </c:pt>
                <c:pt idx="265">
                  <c:v>35.2</c:v>
                </c:pt>
                <c:pt idx="266">
                  <c:v>39.5</c:v>
                </c:pt>
                <c:pt idx="267">
                  <c:v>47.5</c:v>
                </c:pt>
                <c:pt idx="268">
                  <c:v>56.2</c:v>
                </c:pt>
                <c:pt idx="269">
                  <c:v>65.5</c:v>
                </c:pt>
                <c:pt idx="270">
                  <c:v>71.5</c:v>
                </c:pt>
                <c:pt idx="271">
                  <c:v>63.2</c:v>
                </c:pt>
                <c:pt idx="272">
                  <c:v>52.5</c:v>
                </c:pt>
                <c:pt idx="273">
                  <c:v>45.8</c:v>
                </c:pt>
                <c:pt idx="274">
                  <c:v>39.8</c:v>
                </c:pt>
                <c:pt idx="275">
                  <c:v>37.2</c:v>
                </c:pt>
                <c:pt idx="276">
                  <c:v>34.2</c:v>
                </c:pt>
                <c:pt idx="277">
                  <c:v>36.5</c:v>
                </c:pt>
                <c:pt idx="278">
                  <c:v>41.2</c:v>
                </c:pt>
                <c:pt idx="279">
                  <c:v>48.8</c:v>
                </c:pt>
                <c:pt idx="280">
                  <c:v>30.5</c:v>
                </c:pt>
                <c:pt idx="281">
                  <c:v>58.5</c:v>
                </c:pt>
                <c:pt idx="282">
                  <c:v>73.5</c:v>
                </c:pt>
                <c:pt idx="283">
                  <c:v>65.8</c:v>
                </c:pt>
                <c:pt idx="284">
                  <c:v>54.5</c:v>
                </c:pt>
                <c:pt idx="285">
                  <c:v>48.2</c:v>
                </c:pt>
                <c:pt idx="286">
                  <c:v>42.5</c:v>
                </c:pt>
                <c:pt idx="287">
                  <c:v>38.8</c:v>
                </c:pt>
                <c:pt idx="288">
                  <c:v>35.5</c:v>
                </c:pt>
                <c:pt idx="289">
                  <c:v>37.2</c:v>
                </c:pt>
                <c:pt idx="290">
                  <c:v>42.5</c:v>
                </c:pt>
                <c:pt idx="291">
                  <c:v>49.5</c:v>
                </c:pt>
                <c:pt idx="292">
                  <c:v>58.5</c:v>
                </c:pt>
                <c:pt idx="293">
                  <c:v>68.2</c:v>
                </c:pt>
                <c:pt idx="294">
                  <c:v>75.2</c:v>
                </c:pt>
                <c:pt idx="295">
                  <c:v>66.5</c:v>
                </c:pt>
                <c:pt idx="296">
                  <c:v>56.2</c:v>
                </c:pt>
                <c:pt idx="297">
                  <c:v>49.8</c:v>
                </c:pt>
                <c:pt idx="298">
                  <c:v>43.5</c:v>
                </c:pt>
                <c:pt idx="299">
                  <c:v>39.5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分析!$A$8</c:f>
              <c:strCache>
                <c:ptCount val="1"/>
                <c:pt idx="0">
                  <c:v>氧原子 (O) 浓度乘以10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分析!$B$1:$KO$1</c:f>
              <c:strCache>
                <c:ptCount val="300"/>
                <c:pt idx="0">
                  <c:v>2001/1/1</c:v>
                </c:pt>
                <c:pt idx="1">
                  <c:v>2001/2/1</c:v>
                </c:pt>
                <c:pt idx="2">
                  <c:v>2001/3/1</c:v>
                </c:pt>
                <c:pt idx="3">
                  <c:v>2001/4/1</c:v>
                </c:pt>
                <c:pt idx="4">
                  <c:v>2001/5/1</c:v>
                </c:pt>
                <c:pt idx="5">
                  <c:v>2001/6/1</c:v>
                </c:pt>
                <c:pt idx="6">
                  <c:v>2001/7/1</c:v>
                </c:pt>
                <c:pt idx="7">
                  <c:v>2001/8/1</c:v>
                </c:pt>
                <c:pt idx="8">
                  <c:v>2001/9/1</c:v>
                </c:pt>
                <c:pt idx="9">
                  <c:v>2001/10/1</c:v>
                </c:pt>
                <c:pt idx="10">
                  <c:v>2001/11/1</c:v>
                </c:pt>
                <c:pt idx="11">
                  <c:v>2001/12/1</c:v>
                </c:pt>
                <c:pt idx="12">
                  <c:v>2002/1/1</c:v>
                </c:pt>
                <c:pt idx="13">
                  <c:v>2002/2/1</c:v>
                </c:pt>
                <c:pt idx="14">
                  <c:v>2002/3/1</c:v>
                </c:pt>
                <c:pt idx="15">
                  <c:v>2002/4/1</c:v>
                </c:pt>
                <c:pt idx="16">
                  <c:v>2002/5/1</c:v>
                </c:pt>
                <c:pt idx="17">
                  <c:v>2002/6/1</c:v>
                </c:pt>
                <c:pt idx="18">
                  <c:v>2002/7/1</c:v>
                </c:pt>
                <c:pt idx="19">
                  <c:v>2002/8/1</c:v>
                </c:pt>
                <c:pt idx="20">
                  <c:v>2002/9/1</c:v>
                </c:pt>
                <c:pt idx="21">
                  <c:v>2002/10/1</c:v>
                </c:pt>
                <c:pt idx="22">
                  <c:v>2002/11/1</c:v>
                </c:pt>
                <c:pt idx="23">
                  <c:v>2002/12/1</c:v>
                </c:pt>
                <c:pt idx="24">
                  <c:v>2003/1/1</c:v>
                </c:pt>
                <c:pt idx="25">
                  <c:v>2003/2/1</c:v>
                </c:pt>
                <c:pt idx="26">
                  <c:v>2003/3/1</c:v>
                </c:pt>
                <c:pt idx="27">
                  <c:v>2003/4/1</c:v>
                </c:pt>
                <c:pt idx="28">
                  <c:v>2003/5/1</c:v>
                </c:pt>
                <c:pt idx="29">
                  <c:v>2003/6/1</c:v>
                </c:pt>
                <c:pt idx="30">
                  <c:v>2003/7/1</c:v>
                </c:pt>
                <c:pt idx="31">
                  <c:v>2003/8/1</c:v>
                </c:pt>
                <c:pt idx="32">
                  <c:v>2003/9/1</c:v>
                </c:pt>
                <c:pt idx="33">
                  <c:v>2003/10/1</c:v>
                </c:pt>
                <c:pt idx="34">
                  <c:v>2003/11/1</c:v>
                </c:pt>
                <c:pt idx="35">
                  <c:v>2003/12/1</c:v>
                </c:pt>
                <c:pt idx="36">
                  <c:v>2004/1/1</c:v>
                </c:pt>
                <c:pt idx="37">
                  <c:v>2004/2/1</c:v>
                </c:pt>
                <c:pt idx="38">
                  <c:v>2004/3/1</c:v>
                </c:pt>
                <c:pt idx="39">
                  <c:v>2004/4/1</c:v>
                </c:pt>
                <c:pt idx="40">
                  <c:v>2004/5/1</c:v>
                </c:pt>
                <c:pt idx="41">
                  <c:v>2004/6/1</c:v>
                </c:pt>
                <c:pt idx="42">
                  <c:v>2004/7/1</c:v>
                </c:pt>
                <c:pt idx="43">
                  <c:v>2004/8/1</c:v>
                </c:pt>
                <c:pt idx="44">
                  <c:v>2004/9/1</c:v>
                </c:pt>
                <c:pt idx="45">
                  <c:v>2004/10/1</c:v>
                </c:pt>
                <c:pt idx="46">
                  <c:v>2004/11/1</c:v>
                </c:pt>
                <c:pt idx="47">
                  <c:v>2004/12/1</c:v>
                </c:pt>
                <c:pt idx="48">
                  <c:v>2005/1/1</c:v>
                </c:pt>
                <c:pt idx="49">
                  <c:v>2005/2/1</c:v>
                </c:pt>
                <c:pt idx="50">
                  <c:v>2005/3/1</c:v>
                </c:pt>
                <c:pt idx="51">
                  <c:v>2005/4/1</c:v>
                </c:pt>
                <c:pt idx="52">
                  <c:v>2005/5/1</c:v>
                </c:pt>
                <c:pt idx="53">
                  <c:v>2005/6/1</c:v>
                </c:pt>
                <c:pt idx="54">
                  <c:v>2005/7/1</c:v>
                </c:pt>
                <c:pt idx="55">
                  <c:v>2005/8/1</c:v>
                </c:pt>
                <c:pt idx="56">
                  <c:v>2005/9/1</c:v>
                </c:pt>
                <c:pt idx="57">
                  <c:v>2005/10/1</c:v>
                </c:pt>
                <c:pt idx="58">
                  <c:v>2005/11/1</c:v>
                </c:pt>
                <c:pt idx="59">
                  <c:v>2005/12/1</c:v>
                </c:pt>
                <c:pt idx="60">
                  <c:v>2006/1/1</c:v>
                </c:pt>
                <c:pt idx="61">
                  <c:v>2006/2/1</c:v>
                </c:pt>
                <c:pt idx="62">
                  <c:v>2006/3/1</c:v>
                </c:pt>
                <c:pt idx="63">
                  <c:v>2006/4/1</c:v>
                </c:pt>
                <c:pt idx="64">
                  <c:v>2006/5/1</c:v>
                </c:pt>
                <c:pt idx="65">
                  <c:v>2006/6/1</c:v>
                </c:pt>
                <c:pt idx="66">
                  <c:v>2006/7/1</c:v>
                </c:pt>
                <c:pt idx="67">
                  <c:v>2006/8/1</c:v>
                </c:pt>
                <c:pt idx="68">
                  <c:v>2006/9/1</c:v>
                </c:pt>
                <c:pt idx="69">
                  <c:v>2006/10/1</c:v>
                </c:pt>
                <c:pt idx="70">
                  <c:v>2006/11/1</c:v>
                </c:pt>
                <c:pt idx="71">
                  <c:v>2006/12/1</c:v>
                </c:pt>
                <c:pt idx="72">
                  <c:v>2007/1/1</c:v>
                </c:pt>
                <c:pt idx="73">
                  <c:v>2007/2/1</c:v>
                </c:pt>
                <c:pt idx="74">
                  <c:v>2007/3/1</c:v>
                </c:pt>
                <c:pt idx="75">
                  <c:v>2007/4/1</c:v>
                </c:pt>
                <c:pt idx="76">
                  <c:v>2007/5/1</c:v>
                </c:pt>
                <c:pt idx="77">
                  <c:v>2007/6/1</c:v>
                </c:pt>
                <c:pt idx="78">
                  <c:v>2007/7/1</c:v>
                </c:pt>
                <c:pt idx="79">
                  <c:v>2007/8/1</c:v>
                </c:pt>
                <c:pt idx="80">
                  <c:v>2007/9/1</c:v>
                </c:pt>
                <c:pt idx="81">
                  <c:v>2007/10/1</c:v>
                </c:pt>
                <c:pt idx="82">
                  <c:v>2007/11/1</c:v>
                </c:pt>
                <c:pt idx="83">
                  <c:v>2007/12/1</c:v>
                </c:pt>
                <c:pt idx="84">
                  <c:v>2008/1/1</c:v>
                </c:pt>
                <c:pt idx="85">
                  <c:v>2008/2/1</c:v>
                </c:pt>
                <c:pt idx="86">
                  <c:v>2008/3/1</c:v>
                </c:pt>
                <c:pt idx="87">
                  <c:v>2008/4/1</c:v>
                </c:pt>
                <c:pt idx="88">
                  <c:v>2008/5/1</c:v>
                </c:pt>
                <c:pt idx="89">
                  <c:v>2008/6/1</c:v>
                </c:pt>
                <c:pt idx="90">
                  <c:v>2008/7/1</c:v>
                </c:pt>
                <c:pt idx="91">
                  <c:v>2008/8/1</c:v>
                </c:pt>
                <c:pt idx="92">
                  <c:v>2008/9/1</c:v>
                </c:pt>
                <c:pt idx="93">
                  <c:v>2008/10/1</c:v>
                </c:pt>
                <c:pt idx="94">
                  <c:v>2008/11/1</c:v>
                </c:pt>
                <c:pt idx="95">
                  <c:v>2008/12/1</c:v>
                </c:pt>
                <c:pt idx="96">
                  <c:v>2009/1/1</c:v>
                </c:pt>
                <c:pt idx="97">
                  <c:v>2009/2/1</c:v>
                </c:pt>
                <c:pt idx="98">
                  <c:v>2009/3/1</c:v>
                </c:pt>
                <c:pt idx="99">
                  <c:v>2009/4/1</c:v>
                </c:pt>
                <c:pt idx="100">
                  <c:v>2009/5/1</c:v>
                </c:pt>
                <c:pt idx="101">
                  <c:v>2009/6/1</c:v>
                </c:pt>
                <c:pt idx="102">
                  <c:v>2009/7/1</c:v>
                </c:pt>
                <c:pt idx="103">
                  <c:v>2009/8/1</c:v>
                </c:pt>
                <c:pt idx="104">
                  <c:v>2009/9/1</c:v>
                </c:pt>
                <c:pt idx="105">
                  <c:v>2009/10/1</c:v>
                </c:pt>
                <c:pt idx="106">
                  <c:v>2009/11/1</c:v>
                </c:pt>
                <c:pt idx="107">
                  <c:v>2009/12/1</c:v>
                </c:pt>
                <c:pt idx="108">
                  <c:v>2010/1/1</c:v>
                </c:pt>
                <c:pt idx="109">
                  <c:v>2010/2/1</c:v>
                </c:pt>
                <c:pt idx="110">
                  <c:v>2010/3/1</c:v>
                </c:pt>
                <c:pt idx="111">
                  <c:v>2010/4/1</c:v>
                </c:pt>
                <c:pt idx="112">
                  <c:v>2010/5/1</c:v>
                </c:pt>
                <c:pt idx="113">
                  <c:v>2010/6/1</c:v>
                </c:pt>
                <c:pt idx="114">
                  <c:v>2010/7/1</c:v>
                </c:pt>
                <c:pt idx="115">
                  <c:v>2010/8/1</c:v>
                </c:pt>
                <c:pt idx="116">
                  <c:v>2010/9/1</c:v>
                </c:pt>
                <c:pt idx="117">
                  <c:v>2010/10/1</c:v>
                </c:pt>
                <c:pt idx="118">
                  <c:v>2010/11/1</c:v>
                </c:pt>
                <c:pt idx="119">
                  <c:v>2010/12/1</c:v>
                </c:pt>
                <c:pt idx="120">
                  <c:v>2011/1/1</c:v>
                </c:pt>
                <c:pt idx="121">
                  <c:v>2011/2/1</c:v>
                </c:pt>
                <c:pt idx="122">
                  <c:v>2011/3/1</c:v>
                </c:pt>
                <c:pt idx="123">
                  <c:v>2011/4/1</c:v>
                </c:pt>
                <c:pt idx="124">
                  <c:v>2011/5/1</c:v>
                </c:pt>
                <c:pt idx="125">
                  <c:v>2011/6/1</c:v>
                </c:pt>
                <c:pt idx="126">
                  <c:v>2011/7/1</c:v>
                </c:pt>
                <c:pt idx="127">
                  <c:v>2011/8/1</c:v>
                </c:pt>
                <c:pt idx="128">
                  <c:v>2011/9/1</c:v>
                </c:pt>
                <c:pt idx="129">
                  <c:v>2011/10/1</c:v>
                </c:pt>
                <c:pt idx="130">
                  <c:v>2011/11/1</c:v>
                </c:pt>
                <c:pt idx="131">
                  <c:v>2011/12/1</c:v>
                </c:pt>
                <c:pt idx="132">
                  <c:v>2012/1/1</c:v>
                </c:pt>
                <c:pt idx="133">
                  <c:v>2012/2/1</c:v>
                </c:pt>
                <c:pt idx="134">
                  <c:v>2012/3/1</c:v>
                </c:pt>
                <c:pt idx="135">
                  <c:v>2012/4/1</c:v>
                </c:pt>
                <c:pt idx="136">
                  <c:v>2012/5/1</c:v>
                </c:pt>
                <c:pt idx="137">
                  <c:v>2012/6/1</c:v>
                </c:pt>
                <c:pt idx="138">
                  <c:v>2012/7/1</c:v>
                </c:pt>
                <c:pt idx="139">
                  <c:v>2012/8/1</c:v>
                </c:pt>
                <c:pt idx="140">
                  <c:v>2012/9/1</c:v>
                </c:pt>
                <c:pt idx="141">
                  <c:v>2012/10/1</c:v>
                </c:pt>
                <c:pt idx="142">
                  <c:v>2012/11/1</c:v>
                </c:pt>
                <c:pt idx="143">
                  <c:v>2012/12/1</c:v>
                </c:pt>
                <c:pt idx="144">
                  <c:v>2013/1/1</c:v>
                </c:pt>
                <c:pt idx="145">
                  <c:v>2013/2/1</c:v>
                </c:pt>
                <c:pt idx="146">
                  <c:v>2013/3/1</c:v>
                </c:pt>
                <c:pt idx="147">
                  <c:v>2013/4/1</c:v>
                </c:pt>
                <c:pt idx="148">
                  <c:v>2013/5/1</c:v>
                </c:pt>
                <c:pt idx="149">
                  <c:v>2013/6/1</c:v>
                </c:pt>
                <c:pt idx="150">
                  <c:v>2013/7/1</c:v>
                </c:pt>
                <c:pt idx="151">
                  <c:v>2013/8/1</c:v>
                </c:pt>
                <c:pt idx="152">
                  <c:v>2013/9/1</c:v>
                </c:pt>
                <c:pt idx="153">
                  <c:v>2013/10/1</c:v>
                </c:pt>
                <c:pt idx="154">
                  <c:v>2013/11/1</c:v>
                </c:pt>
                <c:pt idx="155">
                  <c:v>2013/12/1</c:v>
                </c:pt>
                <c:pt idx="156">
                  <c:v>2014/1/1</c:v>
                </c:pt>
                <c:pt idx="157">
                  <c:v>2014/2/1</c:v>
                </c:pt>
                <c:pt idx="158">
                  <c:v>2014/3/1</c:v>
                </c:pt>
                <c:pt idx="159">
                  <c:v>2014/4/1</c:v>
                </c:pt>
                <c:pt idx="160">
                  <c:v>2014/5/1</c:v>
                </c:pt>
                <c:pt idx="161">
                  <c:v>2014/6/1</c:v>
                </c:pt>
                <c:pt idx="162">
                  <c:v>2014/7/1</c:v>
                </c:pt>
                <c:pt idx="163">
                  <c:v>2014/8/1</c:v>
                </c:pt>
                <c:pt idx="164">
                  <c:v>2014/9/1</c:v>
                </c:pt>
                <c:pt idx="165">
                  <c:v>2014/10/1</c:v>
                </c:pt>
                <c:pt idx="166">
                  <c:v>2014/11/1</c:v>
                </c:pt>
                <c:pt idx="167">
                  <c:v>2014/12/1</c:v>
                </c:pt>
                <c:pt idx="168">
                  <c:v>2015/1/1</c:v>
                </c:pt>
                <c:pt idx="169">
                  <c:v>2015/2/1</c:v>
                </c:pt>
                <c:pt idx="170">
                  <c:v>2015/3/1</c:v>
                </c:pt>
                <c:pt idx="171">
                  <c:v>2015/4/1</c:v>
                </c:pt>
                <c:pt idx="172">
                  <c:v>2015/5/1</c:v>
                </c:pt>
                <c:pt idx="173">
                  <c:v>2015/6/1</c:v>
                </c:pt>
                <c:pt idx="174">
                  <c:v>2015/7/1</c:v>
                </c:pt>
                <c:pt idx="175">
                  <c:v>2015/8/1</c:v>
                </c:pt>
                <c:pt idx="176">
                  <c:v>2015/9/1</c:v>
                </c:pt>
                <c:pt idx="177">
                  <c:v>2015/10/1</c:v>
                </c:pt>
                <c:pt idx="178">
                  <c:v>2015/11/1</c:v>
                </c:pt>
                <c:pt idx="179">
                  <c:v>2015/12/1</c:v>
                </c:pt>
                <c:pt idx="180">
                  <c:v>2016/1/1</c:v>
                </c:pt>
                <c:pt idx="181">
                  <c:v>2016/2/1</c:v>
                </c:pt>
                <c:pt idx="182">
                  <c:v>2016/3/1</c:v>
                </c:pt>
                <c:pt idx="183">
                  <c:v>2016/4/1</c:v>
                </c:pt>
                <c:pt idx="184">
                  <c:v>2016/5/1</c:v>
                </c:pt>
                <c:pt idx="185">
                  <c:v>2016/6/1</c:v>
                </c:pt>
                <c:pt idx="186">
                  <c:v>2016/7/1</c:v>
                </c:pt>
                <c:pt idx="187">
                  <c:v>2016/8/1</c:v>
                </c:pt>
                <c:pt idx="188">
                  <c:v>2016/9/1</c:v>
                </c:pt>
                <c:pt idx="189">
                  <c:v>2016/10/1</c:v>
                </c:pt>
                <c:pt idx="190">
                  <c:v>2016/11/1</c:v>
                </c:pt>
                <c:pt idx="191">
                  <c:v>2016/12/1</c:v>
                </c:pt>
                <c:pt idx="192">
                  <c:v>2017/1/1</c:v>
                </c:pt>
                <c:pt idx="193">
                  <c:v>2017/2/1</c:v>
                </c:pt>
                <c:pt idx="194">
                  <c:v>2017/3/1</c:v>
                </c:pt>
                <c:pt idx="195">
                  <c:v>2017/4/1</c:v>
                </c:pt>
                <c:pt idx="196">
                  <c:v>2017/5/1</c:v>
                </c:pt>
                <c:pt idx="197">
                  <c:v>2017/6/1</c:v>
                </c:pt>
                <c:pt idx="198">
                  <c:v>2017/7/1</c:v>
                </c:pt>
                <c:pt idx="199">
                  <c:v>2017/8/1</c:v>
                </c:pt>
                <c:pt idx="200">
                  <c:v>2017/9/1</c:v>
                </c:pt>
                <c:pt idx="201">
                  <c:v>2017/10/1</c:v>
                </c:pt>
                <c:pt idx="202">
                  <c:v>2017/11/1</c:v>
                </c:pt>
                <c:pt idx="203">
                  <c:v>2017/12/1</c:v>
                </c:pt>
                <c:pt idx="204">
                  <c:v>2018/1/1</c:v>
                </c:pt>
                <c:pt idx="205">
                  <c:v>2018/2/1</c:v>
                </c:pt>
                <c:pt idx="206">
                  <c:v>2018/3/1</c:v>
                </c:pt>
                <c:pt idx="207">
                  <c:v>2018/4/1</c:v>
                </c:pt>
                <c:pt idx="208">
                  <c:v>2018/5/1</c:v>
                </c:pt>
                <c:pt idx="209">
                  <c:v>2018/6/1</c:v>
                </c:pt>
                <c:pt idx="210">
                  <c:v>2018/7/1</c:v>
                </c:pt>
                <c:pt idx="211">
                  <c:v>2018/8/1</c:v>
                </c:pt>
                <c:pt idx="212">
                  <c:v>2018/9/1</c:v>
                </c:pt>
                <c:pt idx="213">
                  <c:v>2018/10/1</c:v>
                </c:pt>
                <c:pt idx="214">
                  <c:v>2018/11/1</c:v>
                </c:pt>
                <c:pt idx="215">
                  <c:v>2018/12/1</c:v>
                </c:pt>
                <c:pt idx="216">
                  <c:v>2019/1/1</c:v>
                </c:pt>
                <c:pt idx="217">
                  <c:v>2019/2/1</c:v>
                </c:pt>
                <c:pt idx="218">
                  <c:v>2019/3/1</c:v>
                </c:pt>
                <c:pt idx="219">
                  <c:v>2019/4/1</c:v>
                </c:pt>
                <c:pt idx="220">
                  <c:v>2019/5/1</c:v>
                </c:pt>
                <c:pt idx="221">
                  <c:v>2019/6/1</c:v>
                </c:pt>
                <c:pt idx="222">
                  <c:v>2019/7/1</c:v>
                </c:pt>
                <c:pt idx="223">
                  <c:v>2019/8/1</c:v>
                </c:pt>
                <c:pt idx="224">
                  <c:v>2019/9/1</c:v>
                </c:pt>
                <c:pt idx="225">
                  <c:v>2019/10/1</c:v>
                </c:pt>
                <c:pt idx="226">
                  <c:v>2019/11/1</c:v>
                </c:pt>
                <c:pt idx="227">
                  <c:v>2019/12/1</c:v>
                </c:pt>
                <c:pt idx="228">
                  <c:v>2020/1/1</c:v>
                </c:pt>
                <c:pt idx="229">
                  <c:v>2020/2/1</c:v>
                </c:pt>
                <c:pt idx="230">
                  <c:v>2020/3/1</c:v>
                </c:pt>
                <c:pt idx="231">
                  <c:v>2020/4/1</c:v>
                </c:pt>
                <c:pt idx="232">
                  <c:v>2020/5/1</c:v>
                </c:pt>
                <c:pt idx="233">
                  <c:v>2020/6/1</c:v>
                </c:pt>
                <c:pt idx="234">
                  <c:v>2020/7/1</c:v>
                </c:pt>
                <c:pt idx="235">
                  <c:v>2020/8/1</c:v>
                </c:pt>
                <c:pt idx="236">
                  <c:v>2020/9/1</c:v>
                </c:pt>
                <c:pt idx="237">
                  <c:v>2020/10/1</c:v>
                </c:pt>
                <c:pt idx="238">
                  <c:v>2020/11/1</c:v>
                </c:pt>
                <c:pt idx="239">
                  <c:v>2020/12/1</c:v>
                </c:pt>
                <c:pt idx="240">
                  <c:v>2021/1/1</c:v>
                </c:pt>
                <c:pt idx="241">
                  <c:v>2021/2/1</c:v>
                </c:pt>
                <c:pt idx="242">
                  <c:v>2021/3/1</c:v>
                </c:pt>
                <c:pt idx="243">
                  <c:v>2021/4/1</c:v>
                </c:pt>
                <c:pt idx="244">
                  <c:v>2021/5/1</c:v>
                </c:pt>
                <c:pt idx="245">
                  <c:v>2021/6/1</c:v>
                </c:pt>
                <c:pt idx="246">
                  <c:v>2021/7/1</c:v>
                </c:pt>
                <c:pt idx="247">
                  <c:v>2021/8/1</c:v>
                </c:pt>
                <c:pt idx="248">
                  <c:v>2021/9/1</c:v>
                </c:pt>
                <c:pt idx="249">
                  <c:v>2021/10/1</c:v>
                </c:pt>
                <c:pt idx="250">
                  <c:v>2021/11/1</c:v>
                </c:pt>
                <c:pt idx="251">
                  <c:v>2021/12/1</c:v>
                </c:pt>
                <c:pt idx="252">
                  <c:v>2022/1/1</c:v>
                </c:pt>
                <c:pt idx="253">
                  <c:v>2022/2/1</c:v>
                </c:pt>
                <c:pt idx="254">
                  <c:v>2022/3/1</c:v>
                </c:pt>
                <c:pt idx="255">
                  <c:v>2022/4/1</c:v>
                </c:pt>
                <c:pt idx="256">
                  <c:v>2022/5/1</c:v>
                </c:pt>
                <c:pt idx="257">
                  <c:v>2022/6/1</c:v>
                </c:pt>
                <c:pt idx="258">
                  <c:v>2022/7/1</c:v>
                </c:pt>
                <c:pt idx="259">
                  <c:v>2022/8/1</c:v>
                </c:pt>
                <c:pt idx="260">
                  <c:v>2022/9/1</c:v>
                </c:pt>
                <c:pt idx="261">
                  <c:v>2022/10/1</c:v>
                </c:pt>
                <c:pt idx="262">
                  <c:v>2022/11/1</c:v>
                </c:pt>
                <c:pt idx="263">
                  <c:v>2022/12/1</c:v>
                </c:pt>
                <c:pt idx="264">
                  <c:v>2023/1/1</c:v>
                </c:pt>
                <c:pt idx="265">
                  <c:v>2023/2/1</c:v>
                </c:pt>
                <c:pt idx="266">
                  <c:v>2023/3/1</c:v>
                </c:pt>
                <c:pt idx="267">
                  <c:v>2023/4/1</c:v>
                </c:pt>
                <c:pt idx="268">
                  <c:v>2023/5/1</c:v>
                </c:pt>
                <c:pt idx="269">
                  <c:v>2023/6/1</c:v>
                </c:pt>
                <c:pt idx="270">
                  <c:v>2023/7/1</c:v>
                </c:pt>
                <c:pt idx="271">
                  <c:v>2023/8/1</c:v>
                </c:pt>
                <c:pt idx="272">
                  <c:v>2023/9/1</c:v>
                </c:pt>
                <c:pt idx="273">
                  <c:v>2023/10/1</c:v>
                </c:pt>
                <c:pt idx="274">
                  <c:v>2023/11/1</c:v>
                </c:pt>
                <c:pt idx="275">
                  <c:v>2023/12/1</c:v>
                </c:pt>
                <c:pt idx="276">
                  <c:v>2024/1/1</c:v>
                </c:pt>
                <c:pt idx="277">
                  <c:v>2024/2/1</c:v>
                </c:pt>
                <c:pt idx="278">
                  <c:v>2024/3/1</c:v>
                </c:pt>
                <c:pt idx="279">
                  <c:v>2024/4/1</c:v>
                </c:pt>
                <c:pt idx="280">
                  <c:v>2024/5/1</c:v>
                </c:pt>
                <c:pt idx="281">
                  <c:v>2024/6/1</c:v>
                </c:pt>
                <c:pt idx="282">
                  <c:v>2024/7/1</c:v>
                </c:pt>
                <c:pt idx="283">
                  <c:v>2024/8/1</c:v>
                </c:pt>
                <c:pt idx="284">
                  <c:v>2024/9/1</c:v>
                </c:pt>
                <c:pt idx="285">
                  <c:v>2024/10/1</c:v>
                </c:pt>
                <c:pt idx="286">
                  <c:v>2024/11/1</c:v>
                </c:pt>
                <c:pt idx="287">
                  <c:v>2024/12/1</c:v>
                </c:pt>
                <c:pt idx="288">
                  <c:v>2025/1/1</c:v>
                </c:pt>
                <c:pt idx="289">
                  <c:v>2025/2/1</c:v>
                </c:pt>
                <c:pt idx="290">
                  <c:v>2025/3/1</c:v>
                </c:pt>
                <c:pt idx="291">
                  <c:v>2025/4/1</c:v>
                </c:pt>
                <c:pt idx="292">
                  <c:v>2025/5/1</c:v>
                </c:pt>
                <c:pt idx="293">
                  <c:v>2025/6/1</c:v>
                </c:pt>
                <c:pt idx="294">
                  <c:v>2025/7/1</c:v>
                </c:pt>
                <c:pt idx="295">
                  <c:v>2025/8/1</c:v>
                </c:pt>
                <c:pt idx="296">
                  <c:v>2025/9/1</c:v>
                </c:pt>
                <c:pt idx="297">
                  <c:v>2025/10/1</c:v>
                </c:pt>
                <c:pt idx="298">
                  <c:v>2025/11/1</c:v>
                </c:pt>
                <c:pt idx="299">
                  <c:v>2025/12/1</c:v>
                </c:pt>
              </c:strCache>
            </c:strRef>
          </c:cat>
          <c:val>
            <c:numRef>
              <c:f>分析!$B$8:$KO$8</c:f>
              <c:numCache>
                <c:formatCode>General</c:formatCode>
                <c:ptCount val="300"/>
                <c:pt idx="0">
                  <c:v>48.5</c:v>
                </c:pt>
                <c:pt idx="1">
                  <c:v>46.2</c:v>
                </c:pt>
                <c:pt idx="2">
                  <c:v>42.5</c:v>
                </c:pt>
                <c:pt idx="3">
                  <c:v>38.4</c:v>
                </c:pt>
                <c:pt idx="4">
                  <c:v>31.5</c:v>
                </c:pt>
                <c:pt idx="5">
                  <c:v>24.2</c:v>
                </c:pt>
                <c:pt idx="6">
                  <c:v>19.8</c:v>
                </c:pt>
                <c:pt idx="7">
                  <c:v>21.5</c:v>
                </c:pt>
                <c:pt idx="8">
                  <c:v>32.4</c:v>
                </c:pt>
                <c:pt idx="9">
                  <c:v>41</c:v>
                </c:pt>
                <c:pt idx="10">
                  <c:v>47.5</c:v>
                </c:pt>
                <c:pt idx="11">
                  <c:v>49.2</c:v>
                </c:pt>
                <c:pt idx="12">
                  <c:v>51.2</c:v>
                </c:pt>
                <c:pt idx="13">
                  <c:v>48.8</c:v>
                </c:pt>
                <c:pt idx="14">
                  <c:v>44.5</c:v>
                </c:pt>
                <c:pt idx="15">
                  <c:v>36.8</c:v>
                </c:pt>
                <c:pt idx="16">
                  <c:v>29.2</c:v>
                </c:pt>
                <c:pt idx="17">
                  <c:v>21.5</c:v>
                </c:pt>
                <c:pt idx="18">
                  <c:v>17.2</c:v>
                </c:pt>
                <c:pt idx="19">
                  <c:v>19.5</c:v>
                </c:pt>
                <c:pt idx="20">
                  <c:v>30.5</c:v>
                </c:pt>
                <c:pt idx="21">
                  <c:v>42.8</c:v>
                </c:pt>
                <c:pt idx="22">
                  <c:v>52.5</c:v>
                </c:pt>
                <c:pt idx="23">
                  <c:v>54</c:v>
                </c:pt>
                <c:pt idx="24">
                  <c:v>50.8</c:v>
                </c:pt>
                <c:pt idx="25">
                  <c:v>48.2</c:v>
                </c:pt>
                <c:pt idx="26">
                  <c:v>43.5</c:v>
                </c:pt>
                <c:pt idx="27">
                  <c:v>37.2</c:v>
                </c:pt>
                <c:pt idx="28">
                  <c:v>30.5</c:v>
                </c:pt>
                <c:pt idx="29">
                  <c:v>22.4</c:v>
                </c:pt>
                <c:pt idx="30">
                  <c:v>18.5</c:v>
                </c:pt>
                <c:pt idx="31">
                  <c:v>21.8</c:v>
                </c:pt>
                <c:pt idx="32">
                  <c:v>31.2</c:v>
                </c:pt>
                <c:pt idx="33">
                  <c:v>41.5</c:v>
                </c:pt>
                <c:pt idx="34">
                  <c:v>61.5</c:v>
                </c:pt>
                <c:pt idx="35">
                  <c:v>54.2</c:v>
                </c:pt>
                <c:pt idx="36">
                  <c:v>48.5</c:v>
                </c:pt>
                <c:pt idx="37">
                  <c:v>46.2</c:v>
                </c:pt>
                <c:pt idx="38">
                  <c:v>42.5</c:v>
                </c:pt>
                <c:pt idx="39">
                  <c:v>35.4</c:v>
                </c:pt>
                <c:pt idx="40">
                  <c:v>28.8</c:v>
                </c:pt>
                <c:pt idx="41">
                  <c:v>21.2</c:v>
                </c:pt>
                <c:pt idx="42">
                  <c:v>17.8</c:v>
                </c:pt>
                <c:pt idx="43">
                  <c:v>19.5</c:v>
                </c:pt>
                <c:pt idx="44">
                  <c:v>29.2</c:v>
                </c:pt>
                <c:pt idx="45">
                  <c:v>39.8</c:v>
                </c:pt>
                <c:pt idx="46">
                  <c:v>48.2</c:v>
                </c:pt>
                <c:pt idx="47">
                  <c:v>51.5</c:v>
                </c:pt>
                <c:pt idx="48">
                  <c:v>52.4</c:v>
                </c:pt>
                <c:pt idx="49">
                  <c:v>46.5</c:v>
                </c:pt>
                <c:pt idx="50">
                  <c:v>42.8</c:v>
                </c:pt>
                <c:pt idx="51">
                  <c:v>34.2</c:v>
                </c:pt>
                <c:pt idx="52">
                  <c:v>26.5</c:v>
                </c:pt>
                <c:pt idx="53">
                  <c:v>20.5</c:v>
                </c:pt>
                <c:pt idx="54">
                  <c:v>16.2</c:v>
                </c:pt>
                <c:pt idx="55">
                  <c:v>18.8</c:v>
                </c:pt>
                <c:pt idx="56">
                  <c:v>35.2</c:v>
                </c:pt>
                <c:pt idx="57">
                  <c:v>40.5</c:v>
                </c:pt>
                <c:pt idx="58">
                  <c:v>46.8</c:v>
                </c:pt>
                <c:pt idx="59">
                  <c:v>50.2</c:v>
                </c:pt>
                <c:pt idx="60">
                  <c:v>48.5</c:v>
                </c:pt>
                <c:pt idx="61">
                  <c:v>42.4</c:v>
                </c:pt>
                <c:pt idx="62">
                  <c:v>39.2</c:v>
                </c:pt>
                <c:pt idx="63">
                  <c:v>28.5</c:v>
                </c:pt>
                <c:pt idx="64">
                  <c:v>21.5</c:v>
                </c:pt>
                <c:pt idx="65">
                  <c:v>18.2</c:v>
                </c:pt>
                <c:pt idx="66">
                  <c:v>14.5</c:v>
                </c:pt>
                <c:pt idx="67">
                  <c:v>16.2</c:v>
                </c:pt>
                <c:pt idx="68">
                  <c:v>26.5</c:v>
                </c:pt>
                <c:pt idx="69">
                  <c:v>35.2</c:v>
                </c:pt>
                <c:pt idx="70">
                  <c:v>41.5</c:v>
                </c:pt>
                <c:pt idx="71">
                  <c:v>45.2</c:v>
                </c:pt>
                <c:pt idx="72">
                  <c:v>41.2</c:v>
                </c:pt>
                <c:pt idx="73">
                  <c:v>38.5</c:v>
                </c:pt>
                <c:pt idx="74">
                  <c:v>35.8</c:v>
                </c:pt>
                <c:pt idx="75">
                  <c:v>24.5</c:v>
                </c:pt>
                <c:pt idx="76">
                  <c:v>18.2</c:v>
                </c:pt>
                <c:pt idx="77">
                  <c:v>13.5</c:v>
                </c:pt>
                <c:pt idx="78">
                  <c:v>11.2</c:v>
                </c:pt>
                <c:pt idx="79">
                  <c:v>12.8</c:v>
                </c:pt>
                <c:pt idx="80">
                  <c:v>21.5</c:v>
                </c:pt>
                <c:pt idx="81">
                  <c:v>31.2</c:v>
                </c:pt>
                <c:pt idx="82">
                  <c:v>36.5</c:v>
                </c:pt>
                <c:pt idx="83">
                  <c:v>39.8</c:v>
                </c:pt>
                <c:pt idx="84">
                  <c:v>38.2</c:v>
                </c:pt>
                <c:pt idx="85">
                  <c:v>35.5</c:v>
                </c:pt>
                <c:pt idx="86">
                  <c:v>34.2</c:v>
                </c:pt>
                <c:pt idx="87">
                  <c:v>21.5</c:v>
                </c:pt>
                <c:pt idx="88">
                  <c:v>16.2</c:v>
                </c:pt>
                <c:pt idx="89">
                  <c:v>11.5</c:v>
                </c:pt>
                <c:pt idx="90">
                  <c:v>9.5</c:v>
                </c:pt>
                <c:pt idx="91">
                  <c:v>10.8</c:v>
                </c:pt>
                <c:pt idx="92">
                  <c:v>19.5</c:v>
                </c:pt>
                <c:pt idx="93">
                  <c:v>28.5</c:v>
                </c:pt>
                <c:pt idx="94">
                  <c:v>33.8</c:v>
                </c:pt>
                <c:pt idx="95">
                  <c:v>36.5</c:v>
                </c:pt>
                <c:pt idx="96">
                  <c:v>36.5</c:v>
                </c:pt>
                <c:pt idx="97">
                  <c:v>34.2</c:v>
                </c:pt>
                <c:pt idx="98">
                  <c:v>33.5</c:v>
                </c:pt>
                <c:pt idx="99">
                  <c:v>20.5</c:v>
                </c:pt>
                <c:pt idx="100">
                  <c:v>15.8</c:v>
                </c:pt>
                <c:pt idx="101">
                  <c:v>11</c:v>
                </c:pt>
                <c:pt idx="102">
                  <c:v>9</c:v>
                </c:pt>
                <c:pt idx="103">
                  <c:v>9.8</c:v>
                </c:pt>
                <c:pt idx="104">
                  <c:v>18.5</c:v>
                </c:pt>
                <c:pt idx="105">
                  <c:v>27.2</c:v>
                </c:pt>
                <c:pt idx="106">
                  <c:v>32.5</c:v>
                </c:pt>
                <c:pt idx="107">
                  <c:v>35.2</c:v>
                </c:pt>
                <c:pt idx="108">
                  <c:v>37.5</c:v>
                </c:pt>
                <c:pt idx="109">
                  <c:v>36.2</c:v>
                </c:pt>
                <c:pt idx="110">
                  <c:v>35.2</c:v>
                </c:pt>
                <c:pt idx="111">
                  <c:v>24.2</c:v>
                </c:pt>
                <c:pt idx="112">
                  <c:v>18.8</c:v>
                </c:pt>
                <c:pt idx="113">
                  <c:v>14.2</c:v>
                </c:pt>
                <c:pt idx="114">
                  <c:v>11.5</c:v>
                </c:pt>
                <c:pt idx="115">
                  <c:v>12.5</c:v>
                </c:pt>
                <c:pt idx="116">
                  <c:v>22.4</c:v>
                </c:pt>
                <c:pt idx="117">
                  <c:v>31.5</c:v>
                </c:pt>
                <c:pt idx="118">
                  <c:v>36.8</c:v>
                </c:pt>
                <c:pt idx="119">
                  <c:v>39.2</c:v>
                </c:pt>
                <c:pt idx="120">
                  <c:v>41.5</c:v>
                </c:pt>
                <c:pt idx="121">
                  <c:v>43.2</c:v>
                </c:pt>
                <c:pt idx="122">
                  <c:v>41</c:v>
                </c:pt>
                <c:pt idx="123">
                  <c:v>31.5</c:v>
                </c:pt>
                <c:pt idx="124">
                  <c:v>24.2</c:v>
                </c:pt>
                <c:pt idx="125">
                  <c:v>19.5</c:v>
                </c:pt>
                <c:pt idx="126">
                  <c:v>15.8</c:v>
                </c:pt>
                <c:pt idx="127">
                  <c:v>18.2</c:v>
                </c:pt>
                <c:pt idx="128">
                  <c:v>29.5</c:v>
                </c:pt>
                <c:pt idx="129">
                  <c:v>38.4</c:v>
                </c:pt>
                <c:pt idx="130">
                  <c:v>45.2</c:v>
                </c:pt>
                <c:pt idx="131">
                  <c:v>48.8</c:v>
                </c:pt>
                <c:pt idx="132">
                  <c:v>48.8</c:v>
                </c:pt>
                <c:pt idx="133">
                  <c:v>50.5</c:v>
                </c:pt>
                <c:pt idx="134">
                  <c:v>46.5</c:v>
                </c:pt>
                <c:pt idx="135">
                  <c:v>38.2</c:v>
                </c:pt>
                <c:pt idx="136">
                  <c:v>29.5</c:v>
                </c:pt>
                <c:pt idx="137">
                  <c:v>21.5</c:v>
                </c:pt>
                <c:pt idx="138">
                  <c:v>18.2</c:v>
                </c:pt>
                <c:pt idx="139">
                  <c:v>19.8</c:v>
                </c:pt>
                <c:pt idx="140">
                  <c:v>31.2</c:v>
                </c:pt>
                <c:pt idx="141">
                  <c:v>42.8</c:v>
                </c:pt>
                <c:pt idx="142">
                  <c:v>49.5</c:v>
                </c:pt>
                <c:pt idx="143">
                  <c:v>52.5</c:v>
                </c:pt>
                <c:pt idx="144">
                  <c:v>51.5</c:v>
                </c:pt>
                <c:pt idx="145">
                  <c:v>48.8</c:v>
                </c:pt>
                <c:pt idx="146">
                  <c:v>44.2</c:v>
                </c:pt>
                <c:pt idx="147">
                  <c:v>35.8</c:v>
                </c:pt>
                <c:pt idx="148">
                  <c:v>28.2</c:v>
                </c:pt>
                <c:pt idx="149">
                  <c:v>20.5</c:v>
                </c:pt>
                <c:pt idx="150">
                  <c:v>17.2</c:v>
                </c:pt>
                <c:pt idx="151">
                  <c:v>18.8</c:v>
                </c:pt>
                <c:pt idx="152">
                  <c:v>29.5</c:v>
                </c:pt>
                <c:pt idx="153">
                  <c:v>41.5</c:v>
                </c:pt>
                <c:pt idx="154">
                  <c:v>51.2</c:v>
                </c:pt>
                <c:pt idx="155">
                  <c:v>54.5</c:v>
                </c:pt>
                <c:pt idx="156">
                  <c:v>52.5</c:v>
                </c:pt>
                <c:pt idx="157">
                  <c:v>54.2</c:v>
                </c:pt>
                <c:pt idx="158">
                  <c:v>46.8</c:v>
                </c:pt>
                <c:pt idx="159">
                  <c:v>38.5</c:v>
                </c:pt>
                <c:pt idx="160">
                  <c:v>31.2</c:v>
                </c:pt>
                <c:pt idx="161">
                  <c:v>22.4</c:v>
                </c:pt>
                <c:pt idx="162">
                  <c:v>19.5</c:v>
                </c:pt>
                <c:pt idx="163">
                  <c:v>21</c:v>
                </c:pt>
                <c:pt idx="164">
                  <c:v>32.5</c:v>
                </c:pt>
                <c:pt idx="165">
                  <c:v>44.2</c:v>
                </c:pt>
                <c:pt idx="166">
                  <c:v>53.5</c:v>
                </c:pt>
                <c:pt idx="167">
                  <c:v>56.2</c:v>
                </c:pt>
                <c:pt idx="168">
                  <c:v>53.5</c:v>
                </c:pt>
                <c:pt idx="169">
                  <c:v>51.2</c:v>
                </c:pt>
                <c:pt idx="170">
                  <c:v>45.8</c:v>
                </c:pt>
                <c:pt idx="171">
                  <c:v>64.5</c:v>
                </c:pt>
                <c:pt idx="172">
                  <c:v>35.2</c:v>
                </c:pt>
                <c:pt idx="173">
                  <c:v>24.5</c:v>
                </c:pt>
                <c:pt idx="174">
                  <c:v>19.2</c:v>
                </c:pt>
                <c:pt idx="175">
                  <c:v>20.5</c:v>
                </c:pt>
                <c:pt idx="176">
                  <c:v>31.8</c:v>
                </c:pt>
                <c:pt idx="177">
                  <c:v>42.5</c:v>
                </c:pt>
                <c:pt idx="178">
                  <c:v>49.5</c:v>
                </c:pt>
                <c:pt idx="179">
                  <c:v>51.8</c:v>
                </c:pt>
                <c:pt idx="180">
                  <c:v>49.2</c:v>
                </c:pt>
                <c:pt idx="181">
                  <c:v>46.5</c:v>
                </c:pt>
                <c:pt idx="182">
                  <c:v>41.2</c:v>
                </c:pt>
                <c:pt idx="183">
                  <c:v>29.5</c:v>
                </c:pt>
                <c:pt idx="184">
                  <c:v>22.4</c:v>
                </c:pt>
                <c:pt idx="185">
                  <c:v>18.5</c:v>
                </c:pt>
                <c:pt idx="186">
                  <c:v>15.2</c:v>
                </c:pt>
                <c:pt idx="187">
                  <c:v>16.8</c:v>
                </c:pt>
                <c:pt idx="188">
                  <c:v>28.5</c:v>
                </c:pt>
                <c:pt idx="189">
                  <c:v>38.8</c:v>
                </c:pt>
                <c:pt idx="190">
                  <c:v>43.5</c:v>
                </c:pt>
                <c:pt idx="191">
                  <c:v>45.8</c:v>
                </c:pt>
                <c:pt idx="192">
                  <c:v>42.5</c:v>
                </c:pt>
                <c:pt idx="193">
                  <c:v>39.8</c:v>
                </c:pt>
                <c:pt idx="194">
                  <c:v>36.5</c:v>
                </c:pt>
                <c:pt idx="195">
                  <c:v>25.2</c:v>
                </c:pt>
                <c:pt idx="196">
                  <c:v>19.5</c:v>
                </c:pt>
                <c:pt idx="197">
                  <c:v>15.5</c:v>
                </c:pt>
                <c:pt idx="198">
                  <c:v>12.8</c:v>
                </c:pt>
                <c:pt idx="199">
                  <c:v>14.2</c:v>
                </c:pt>
                <c:pt idx="200">
                  <c:v>25.8</c:v>
                </c:pt>
                <c:pt idx="201">
                  <c:v>54.5</c:v>
                </c:pt>
                <c:pt idx="202">
                  <c:v>42.5</c:v>
                </c:pt>
                <c:pt idx="203">
                  <c:v>38.8</c:v>
                </c:pt>
                <c:pt idx="204">
                  <c:v>38.2</c:v>
                </c:pt>
                <c:pt idx="205">
                  <c:v>35.5</c:v>
                </c:pt>
                <c:pt idx="206">
                  <c:v>33.8</c:v>
                </c:pt>
                <c:pt idx="207">
                  <c:v>21.2</c:v>
                </c:pt>
                <c:pt idx="208">
                  <c:v>15.5</c:v>
                </c:pt>
                <c:pt idx="209">
                  <c:v>11.2</c:v>
                </c:pt>
                <c:pt idx="210">
                  <c:v>9.2</c:v>
                </c:pt>
                <c:pt idx="211">
                  <c:v>10.5</c:v>
                </c:pt>
                <c:pt idx="212">
                  <c:v>18.8</c:v>
                </c:pt>
                <c:pt idx="213">
                  <c:v>28.5</c:v>
                </c:pt>
                <c:pt idx="214">
                  <c:v>33.2</c:v>
                </c:pt>
                <c:pt idx="215">
                  <c:v>35.8</c:v>
                </c:pt>
                <c:pt idx="216">
                  <c:v>35.2</c:v>
                </c:pt>
                <c:pt idx="217">
                  <c:v>32.5</c:v>
                </c:pt>
                <c:pt idx="218">
                  <c:v>31.8</c:v>
                </c:pt>
                <c:pt idx="219">
                  <c:v>19.5</c:v>
                </c:pt>
                <c:pt idx="220">
                  <c:v>14.5</c:v>
                </c:pt>
                <c:pt idx="221">
                  <c:v>10.5</c:v>
                </c:pt>
                <c:pt idx="222">
                  <c:v>8.5</c:v>
                </c:pt>
                <c:pt idx="223">
                  <c:v>9.2</c:v>
                </c:pt>
                <c:pt idx="224">
                  <c:v>16.2</c:v>
                </c:pt>
                <c:pt idx="225">
                  <c:v>25.5</c:v>
                </c:pt>
                <c:pt idx="226">
                  <c:v>31.8</c:v>
                </c:pt>
                <c:pt idx="227">
                  <c:v>34.2</c:v>
                </c:pt>
                <c:pt idx="228">
                  <c:v>34.8</c:v>
                </c:pt>
                <c:pt idx="229">
                  <c:v>33.2</c:v>
                </c:pt>
                <c:pt idx="230">
                  <c:v>32.5</c:v>
                </c:pt>
                <c:pt idx="231">
                  <c:v>21.2</c:v>
                </c:pt>
                <c:pt idx="232">
                  <c:v>16.8</c:v>
                </c:pt>
                <c:pt idx="233">
                  <c:v>11.5</c:v>
                </c:pt>
                <c:pt idx="234">
                  <c:v>9.5</c:v>
                </c:pt>
                <c:pt idx="235">
                  <c:v>10.2</c:v>
                </c:pt>
                <c:pt idx="236">
                  <c:v>19.8</c:v>
                </c:pt>
                <c:pt idx="237">
                  <c:v>28.5</c:v>
                </c:pt>
                <c:pt idx="238">
                  <c:v>32.2</c:v>
                </c:pt>
                <c:pt idx="239">
                  <c:v>36.5</c:v>
                </c:pt>
                <c:pt idx="240">
                  <c:v>38.5</c:v>
                </c:pt>
                <c:pt idx="241">
                  <c:v>39.2</c:v>
                </c:pt>
                <c:pt idx="242">
                  <c:v>38.2</c:v>
                </c:pt>
                <c:pt idx="243">
                  <c:v>25.5</c:v>
                </c:pt>
                <c:pt idx="244">
                  <c:v>19.8</c:v>
                </c:pt>
                <c:pt idx="245">
                  <c:v>14.5</c:v>
                </c:pt>
                <c:pt idx="246">
                  <c:v>12.2</c:v>
                </c:pt>
                <c:pt idx="247">
                  <c:v>13.8</c:v>
                </c:pt>
                <c:pt idx="248">
                  <c:v>24.2</c:v>
                </c:pt>
                <c:pt idx="249">
                  <c:v>36.5</c:v>
                </c:pt>
                <c:pt idx="250">
                  <c:v>41.5</c:v>
                </c:pt>
                <c:pt idx="251">
                  <c:v>44.5</c:v>
                </c:pt>
                <c:pt idx="252">
                  <c:v>44.5</c:v>
                </c:pt>
                <c:pt idx="253">
                  <c:v>46.2</c:v>
                </c:pt>
                <c:pt idx="254">
                  <c:v>43.5</c:v>
                </c:pt>
                <c:pt idx="255">
                  <c:v>35.2</c:v>
                </c:pt>
                <c:pt idx="256">
                  <c:v>26.5</c:v>
                </c:pt>
                <c:pt idx="257">
                  <c:v>18.8</c:v>
                </c:pt>
                <c:pt idx="258">
                  <c:v>15.2</c:v>
                </c:pt>
                <c:pt idx="259">
                  <c:v>17.2</c:v>
                </c:pt>
                <c:pt idx="260">
                  <c:v>28.5</c:v>
                </c:pt>
                <c:pt idx="261">
                  <c:v>41.5</c:v>
                </c:pt>
                <c:pt idx="262">
                  <c:v>48.8</c:v>
                </c:pt>
                <c:pt idx="263">
                  <c:v>51.2</c:v>
                </c:pt>
                <c:pt idx="264">
                  <c:v>48.5</c:v>
                </c:pt>
                <c:pt idx="265">
                  <c:v>51.2</c:v>
                </c:pt>
                <c:pt idx="266">
                  <c:v>46.5</c:v>
                </c:pt>
                <c:pt idx="267">
                  <c:v>39.2</c:v>
                </c:pt>
                <c:pt idx="268">
                  <c:v>31.5</c:v>
                </c:pt>
                <c:pt idx="269">
                  <c:v>23.8</c:v>
                </c:pt>
                <c:pt idx="270">
                  <c:v>19.5</c:v>
                </c:pt>
                <c:pt idx="271">
                  <c:v>21.2</c:v>
                </c:pt>
                <c:pt idx="272">
                  <c:v>33.5</c:v>
                </c:pt>
                <c:pt idx="273">
                  <c:v>44.5</c:v>
                </c:pt>
                <c:pt idx="274">
                  <c:v>52.5</c:v>
                </c:pt>
                <c:pt idx="275">
                  <c:v>55.8</c:v>
                </c:pt>
                <c:pt idx="276">
                  <c:v>52.5</c:v>
                </c:pt>
                <c:pt idx="277">
                  <c:v>54.8</c:v>
                </c:pt>
                <c:pt idx="278">
                  <c:v>49.5</c:v>
                </c:pt>
                <c:pt idx="279">
                  <c:v>41.5</c:v>
                </c:pt>
                <c:pt idx="280">
                  <c:v>68.2</c:v>
                </c:pt>
                <c:pt idx="281">
                  <c:v>32.5</c:v>
                </c:pt>
                <c:pt idx="282">
                  <c:v>21.5</c:v>
                </c:pt>
                <c:pt idx="283">
                  <c:v>23.2</c:v>
                </c:pt>
                <c:pt idx="284">
                  <c:v>35.8</c:v>
                </c:pt>
                <c:pt idx="285">
                  <c:v>47.5</c:v>
                </c:pt>
                <c:pt idx="286">
                  <c:v>56.2</c:v>
                </c:pt>
                <c:pt idx="287">
                  <c:v>59.5</c:v>
                </c:pt>
                <c:pt idx="288">
                  <c:v>56.8</c:v>
                </c:pt>
                <c:pt idx="289">
                  <c:v>59.2</c:v>
                </c:pt>
                <c:pt idx="290">
                  <c:v>51.5</c:v>
                </c:pt>
                <c:pt idx="291">
                  <c:v>44.2</c:v>
                </c:pt>
                <c:pt idx="292">
                  <c:v>35.5</c:v>
                </c:pt>
                <c:pt idx="293">
                  <c:v>25.8</c:v>
                </c:pt>
                <c:pt idx="294">
                  <c:v>22.5</c:v>
                </c:pt>
                <c:pt idx="295">
                  <c:v>24.8</c:v>
                </c:pt>
                <c:pt idx="296">
                  <c:v>38.2</c:v>
                </c:pt>
                <c:pt idx="297">
                  <c:v>49.2</c:v>
                </c:pt>
                <c:pt idx="298">
                  <c:v>58.5</c:v>
                </c:pt>
                <c:pt idx="299">
                  <c:v>61.2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287237170"/>
        <c:axId val="61311242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分析!$A$12</c15:sqref>
                        </c15:formulaRef>
                      </c:ext>
                    </c:extLst>
                    <c:strCache>
                      <c:ptCount val="1"/>
                      <c:pt idx="0">
                        <c:v>南半球氢中心纬度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微软雅黑" panose="020B0503020204020204" charset="-122"/>
                          <a:ea typeface="微软雅黑" panose="020B0503020204020204" charset="-122"/>
                          <a:cs typeface="微软雅黑" panose="020B0503020204020204" charset="-122"/>
                          <a:sym typeface="微软雅黑" panose="020B0503020204020204" charset="-122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分析!$B$1:$KO$1</c15:sqref>
                        </c15:formulaRef>
                      </c:ext>
                    </c:extLst>
                    <c:strCache>
                      <c:ptCount val="300"/>
                      <c:pt idx="0">
                        <c:v>2001/1/1</c:v>
                      </c:pt>
                      <c:pt idx="1">
                        <c:v>2001/2/1</c:v>
                      </c:pt>
                      <c:pt idx="2">
                        <c:v>2001/3/1</c:v>
                      </c:pt>
                      <c:pt idx="3">
                        <c:v>2001/4/1</c:v>
                      </c:pt>
                      <c:pt idx="4">
                        <c:v>2001/5/1</c:v>
                      </c:pt>
                      <c:pt idx="5">
                        <c:v>2001/6/1</c:v>
                      </c:pt>
                      <c:pt idx="6">
                        <c:v>2001/7/1</c:v>
                      </c:pt>
                      <c:pt idx="7">
                        <c:v>2001/8/1</c:v>
                      </c:pt>
                      <c:pt idx="8">
                        <c:v>2001/9/1</c:v>
                      </c:pt>
                      <c:pt idx="9">
                        <c:v>2001/10/1</c:v>
                      </c:pt>
                      <c:pt idx="10">
                        <c:v>2001/11/1</c:v>
                      </c:pt>
                      <c:pt idx="11">
                        <c:v>2001/12/1</c:v>
                      </c:pt>
                      <c:pt idx="12">
                        <c:v>2002/1/1</c:v>
                      </c:pt>
                      <c:pt idx="13">
                        <c:v>2002/2/1</c:v>
                      </c:pt>
                      <c:pt idx="14">
                        <c:v>2002/3/1</c:v>
                      </c:pt>
                      <c:pt idx="15">
                        <c:v>2002/4/1</c:v>
                      </c:pt>
                      <c:pt idx="16">
                        <c:v>2002/5/1</c:v>
                      </c:pt>
                      <c:pt idx="17">
                        <c:v>2002/6/1</c:v>
                      </c:pt>
                      <c:pt idx="18">
                        <c:v>2002/7/1</c:v>
                      </c:pt>
                      <c:pt idx="19">
                        <c:v>2002/8/1</c:v>
                      </c:pt>
                      <c:pt idx="20">
                        <c:v>2002/9/1</c:v>
                      </c:pt>
                      <c:pt idx="21">
                        <c:v>2002/10/1</c:v>
                      </c:pt>
                      <c:pt idx="22">
                        <c:v>2002/11/1</c:v>
                      </c:pt>
                      <c:pt idx="23">
                        <c:v>2002/12/1</c:v>
                      </c:pt>
                      <c:pt idx="24">
                        <c:v>2003/1/1</c:v>
                      </c:pt>
                      <c:pt idx="25">
                        <c:v>2003/2/1</c:v>
                      </c:pt>
                      <c:pt idx="26">
                        <c:v>2003/3/1</c:v>
                      </c:pt>
                      <c:pt idx="27">
                        <c:v>2003/4/1</c:v>
                      </c:pt>
                      <c:pt idx="28">
                        <c:v>2003/5/1</c:v>
                      </c:pt>
                      <c:pt idx="29">
                        <c:v>2003/6/1</c:v>
                      </c:pt>
                      <c:pt idx="30">
                        <c:v>2003/7/1</c:v>
                      </c:pt>
                      <c:pt idx="31">
                        <c:v>2003/8/1</c:v>
                      </c:pt>
                      <c:pt idx="32">
                        <c:v>2003/9/1</c:v>
                      </c:pt>
                      <c:pt idx="33">
                        <c:v>2003/10/1</c:v>
                      </c:pt>
                      <c:pt idx="34">
                        <c:v>2003/11/1</c:v>
                      </c:pt>
                      <c:pt idx="35">
                        <c:v>2003/12/1</c:v>
                      </c:pt>
                      <c:pt idx="36">
                        <c:v>2004/1/1</c:v>
                      </c:pt>
                      <c:pt idx="37">
                        <c:v>2004/2/1</c:v>
                      </c:pt>
                      <c:pt idx="38">
                        <c:v>2004/3/1</c:v>
                      </c:pt>
                      <c:pt idx="39">
                        <c:v>2004/4/1</c:v>
                      </c:pt>
                      <c:pt idx="40">
                        <c:v>2004/5/1</c:v>
                      </c:pt>
                      <c:pt idx="41">
                        <c:v>2004/6/1</c:v>
                      </c:pt>
                      <c:pt idx="42">
                        <c:v>2004/7/1</c:v>
                      </c:pt>
                      <c:pt idx="43">
                        <c:v>2004/8/1</c:v>
                      </c:pt>
                      <c:pt idx="44">
                        <c:v>2004/9/1</c:v>
                      </c:pt>
                      <c:pt idx="45">
                        <c:v>2004/10/1</c:v>
                      </c:pt>
                      <c:pt idx="46">
                        <c:v>2004/11/1</c:v>
                      </c:pt>
                      <c:pt idx="47">
                        <c:v>2004/12/1</c:v>
                      </c:pt>
                      <c:pt idx="48">
                        <c:v>2005/1/1</c:v>
                      </c:pt>
                      <c:pt idx="49">
                        <c:v>2005/2/1</c:v>
                      </c:pt>
                      <c:pt idx="50">
                        <c:v>2005/3/1</c:v>
                      </c:pt>
                      <c:pt idx="51">
                        <c:v>2005/4/1</c:v>
                      </c:pt>
                      <c:pt idx="52">
                        <c:v>2005/5/1</c:v>
                      </c:pt>
                      <c:pt idx="53">
                        <c:v>2005/6/1</c:v>
                      </c:pt>
                      <c:pt idx="54">
                        <c:v>2005/7/1</c:v>
                      </c:pt>
                      <c:pt idx="55">
                        <c:v>2005/8/1</c:v>
                      </c:pt>
                      <c:pt idx="56">
                        <c:v>2005/9/1</c:v>
                      </c:pt>
                      <c:pt idx="57">
                        <c:v>2005/10/1</c:v>
                      </c:pt>
                      <c:pt idx="58">
                        <c:v>2005/11/1</c:v>
                      </c:pt>
                      <c:pt idx="59">
                        <c:v>2005/12/1</c:v>
                      </c:pt>
                      <c:pt idx="60">
                        <c:v>2006/1/1</c:v>
                      </c:pt>
                      <c:pt idx="61">
                        <c:v>2006/2/1</c:v>
                      </c:pt>
                      <c:pt idx="62">
                        <c:v>2006/3/1</c:v>
                      </c:pt>
                      <c:pt idx="63">
                        <c:v>2006/4/1</c:v>
                      </c:pt>
                      <c:pt idx="64">
                        <c:v>2006/5/1</c:v>
                      </c:pt>
                      <c:pt idx="65">
                        <c:v>2006/6/1</c:v>
                      </c:pt>
                      <c:pt idx="66">
                        <c:v>2006/7/1</c:v>
                      </c:pt>
                      <c:pt idx="67">
                        <c:v>2006/8/1</c:v>
                      </c:pt>
                      <c:pt idx="68">
                        <c:v>2006/9/1</c:v>
                      </c:pt>
                      <c:pt idx="69">
                        <c:v>2006/10/1</c:v>
                      </c:pt>
                      <c:pt idx="70">
                        <c:v>2006/11/1</c:v>
                      </c:pt>
                      <c:pt idx="71">
                        <c:v>2006/12/1</c:v>
                      </c:pt>
                      <c:pt idx="72">
                        <c:v>2007/1/1</c:v>
                      </c:pt>
                      <c:pt idx="73">
                        <c:v>2007/2/1</c:v>
                      </c:pt>
                      <c:pt idx="74">
                        <c:v>2007/3/1</c:v>
                      </c:pt>
                      <c:pt idx="75">
                        <c:v>2007/4/1</c:v>
                      </c:pt>
                      <c:pt idx="76">
                        <c:v>2007/5/1</c:v>
                      </c:pt>
                      <c:pt idx="77">
                        <c:v>2007/6/1</c:v>
                      </c:pt>
                      <c:pt idx="78">
                        <c:v>2007/7/1</c:v>
                      </c:pt>
                      <c:pt idx="79">
                        <c:v>2007/8/1</c:v>
                      </c:pt>
                      <c:pt idx="80">
                        <c:v>2007/9/1</c:v>
                      </c:pt>
                      <c:pt idx="81">
                        <c:v>2007/10/1</c:v>
                      </c:pt>
                      <c:pt idx="82">
                        <c:v>2007/11/1</c:v>
                      </c:pt>
                      <c:pt idx="83">
                        <c:v>2007/12/1</c:v>
                      </c:pt>
                      <c:pt idx="84">
                        <c:v>2008/1/1</c:v>
                      </c:pt>
                      <c:pt idx="85">
                        <c:v>2008/2/1</c:v>
                      </c:pt>
                      <c:pt idx="86">
                        <c:v>2008/3/1</c:v>
                      </c:pt>
                      <c:pt idx="87">
                        <c:v>2008/4/1</c:v>
                      </c:pt>
                      <c:pt idx="88">
                        <c:v>2008/5/1</c:v>
                      </c:pt>
                      <c:pt idx="89">
                        <c:v>2008/6/1</c:v>
                      </c:pt>
                      <c:pt idx="90">
                        <c:v>2008/7/1</c:v>
                      </c:pt>
                      <c:pt idx="91">
                        <c:v>2008/8/1</c:v>
                      </c:pt>
                      <c:pt idx="92">
                        <c:v>2008/9/1</c:v>
                      </c:pt>
                      <c:pt idx="93">
                        <c:v>2008/10/1</c:v>
                      </c:pt>
                      <c:pt idx="94">
                        <c:v>2008/11/1</c:v>
                      </c:pt>
                      <c:pt idx="95">
                        <c:v>2008/12/1</c:v>
                      </c:pt>
                      <c:pt idx="96">
                        <c:v>2009/1/1</c:v>
                      </c:pt>
                      <c:pt idx="97">
                        <c:v>2009/2/1</c:v>
                      </c:pt>
                      <c:pt idx="98">
                        <c:v>2009/3/1</c:v>
                      </c:pt>
                      <c:pt idx="99">
                        <c:v>2009/4/1</c:v>
                      </c:pt>
                      <c:pt idx="100">
                        <c:v>2009/5/1</c:v>
                      </c:pt>
                      <c:pt idx="101">
                        <c:v>2009/6/1</c:v>
                      </c:pt>
                      <c:pt idx="102">
                        <c:v>2009/7/1</c:v>
                      </c:pt>
                      <c:pt idx="103">
                        <c:v>2009/8/1</c:v>
                      </c:pt>
                      <c:pt idx="104">
                        <c:v>2009/9/1</c:v>
                      </c:pt>
                      <c:pt idx="105">
                        <c:v>2009/10/1</c:v>
                      </c:pt>
                      <c:pt idx="106">
                        <c:v>2009/11/1</c:v>
                      </c:pt>
                      <c:pt idx="107">
                        <c:v>2009/12/1</c:v>
                      </c:pt>
                      <c:pt idx="108">
                        <c:v>2010/1/1</c:v>
                      </c:pt>
                      <c:pt idx="109">
                        <c:v>2010/2/1</c:v>
                      </c:pt>
                      <c:pt idx="110">
                        <c:v>2010/3/1</c:v>
                      </c:pt>
                      <c:pt idx="111">
                        <c:v>2010/4/1</c:v>
                      </c:pt>
                      <c:pt idx="112">
                        <c:v>2010/5/1</c:v>
                      </c:pt>
                      <c:pt idx="113">
                        <c:v>2010/6/1</c:v>
                      </c:pt>
                      <c:pt idx="114">
                        <c:v>2010/7/1</c:v>
                      </c:pt>
                      <c:pt idx="115">
                        <c:v>2010/8/1</c:v>
                      </c:pt>
                      <c:pt idx="116">
                        <c:v>2010/9/1</c:v>
                      </c:pt>
                      <c:pt idx="117">
                        <c:v>2010/10/1</c:v>
                      </c:pt>
                      <c:pt idx="118">
                        <c:v>2010/11/1</c:v>
                      </c:pt>
                      <c:pt idx="119">
                        <c:v>2010/12/1</c:v>
                      </c:pt>
                      <c:pt idx="120">
                        <c:v>2011/1/1</c:v>
                      </c:pt>
                      <c:pt idx="121">
                        <c:v>2011/2/1</c:v>
                      </c:pt>
                      <c:pt idx="122">
                        <c:v>2011/3/1</c:v>
                      </c:pt>
                      <c:pt idx="123">
                        <c:v>2011/4/1</c:v>
                      </c:pt>
                      <c:pt idx="124">
                        <c:v>2011/5/1</c:v>
                      </c:pt>
                      <c:pt idx="125">
                        <c:v>2011/6/1</c:v>
                      </c:pt>
                      <c:pt idx="126">
                        <c:v>2011/7/1</c:v>
                      </c:pt>
                      <c:pt idx="127">
                        <c:v>2011/8/1</c:v>
                      </c:pt>
                      <c:pt idx="128">
                        <c:v>2011/9/1</c:v>
                      </c:pt>
                      <c:pt idx="129">
                        <c:v>2011/10/1</c:v>
                      </c:pt>
                      <c:pt idx="130">
                        <c:v>2011/11/1</c:v>
                      </c:pt>
                      <c:pt idx="131">
                        <c:v>2011/12/1</c:v>
                      </c:pt>
                      <c:pt idx="132">
                        <c:v>2012/1/1</c:v>
                      </c:pt>
                      <c:pt idx="133">
                        <c:v>2012/2/1</c:v>
                      </c:pt>
                      <c:pt idx="134">
                        <c:v>2012/3/1</c:v>
                      </c:pt>
                      <c:pt idx="135">
                        <c:v>2012/4/1</c:v>
                      </c:pt>
                      <c:pt idx="136">
                        <c:v>2012/5/1</c:v>
                      </c:pt>
                      <c:pt idx="137">
                        <c:v>2012/6/1</c:v>
                      </c:pt>
                      <c:pt idx="138">
                        <c:v>2012/7/1</c:v>
                      </c:pt>
                      <c:pt idx="139">
                        <c:v>2012/8/1</c:v>
                      </c:pt>
                      <c:pt idx="140">
                        <c:v>2012/9/1</c:v>
                      </c:pt>
                      <c:pt idx="141">
                        <c:v>2012/10/1</c:v>
                      </c:pt>
                      <c:pt idx="142">
                        <c:v>2012/11/1</c:v>
                      </c:pt>
                      <c:pt idx="143">
                        <c:v>2012/12/1</c:v>
                      </c:pt>
                      <c:pt idx="144">
                        <c:v>2013/1/1</c:v>
                      </c:pt>
                      <c:pt idx="145">
                        <c:v>2013/2/1</c:v>
                      </c:pt>
                      <c:pt idx="146">
                        <c:v>2013/3/1</c:v>
                      </c:pt>
                      <c:pt idx="147">
                        <c:v>2013/4/1</c:v>
                      </c:pt>
                      <c:pt idx="148">
                        <c:v>2013/5/1</c:v>
                      </c:pt>
                      <c:pt idx="149">
                        <c:v>2013/6/1</c:v>
                      </c:pt>
                      <c:pt idx="150">
                        <c:v>2013/7/1</c:v>
                      </c:pt>
                      <c:pt idx="151">
                        <c:v>2013/8/1</c:v>
                      </c:pt>
                      <c:pt idx="152">
                        <c:v>2013/9/1</c:v>
                      </c:pt>
                      <c:pt idx="153">
                        <c:v>2013/10/1</c:v>
                      </c:pt>
                      <c:pt idx="154">
                        <c:v>2013/11/1</c:v>
                      </c:pt>
                      <c:pt idx="155">
                        <c:v>2013/12/1</c:v>
                      </c:pt>
                      <c:pt idx="156">
                        <c:v>2014/1/1</c:v>
                      </c:pt>
                      <c:pt idx="157">
                        <c:v>2014/2/1</c:v>
                      </c:pt>
                      <c:pt idx="158">
                        <c:v>2014/3/1</c:v>
                      </c:pt>
                      <c:pt idx="159">
                        <c:v>2014/4/1</c:v>
                      </c:pt>
                      <c:pt idx="160">
                        <c:v>2014/5/1</c:v>
                      </c:pt>
                      <c:pt idx="161">
                        <c:v>2014/6/1</c:v>
                      </c:pt>
                      <c:pt idx="162">
                        <c:v>2014/7/1</c:v>
                      </c:pt>
                      <c:pt idx="163">
                        <c:v>2014/8/1</c:v>
                      </c:pt>
                      <c:pt idx="164">
                        <c:v>2014/9/1</c:v>
                      </c:pt>
                      <c:pt idx="165">
                        <c:v>2014/10/1</c:v>
                      </c:pt>
                      <c:pt idx="166">
                        <c:v>2014/11/1</c:v>
                      </c:pt>
                      <c:pt idx="167">
                        <c:v>2014/12/1</c:v>
                      </c:pt>
                      <c:pt idx="168">
                        <c:v>2015/1/1</c:v>
                      </c:pt>
                      <c:pt idx="169">
                        <c:v>2015/2/1</c:v>
                      </c:pt>
                      <c:pt idx="170">
                        <c:v>2015/3/1</c:v>
                      </c:pt>
                      <c:pt idx="171">
                        <c:v>2015/4/1</c:v>
                      </c:pt>
                      <c:pt idx="172">
                        <c:v>2015/5/1</c:v>
                      </c:pt>
                      <c:pt idx="173">
                        <c:v>2015/6/1</c:v>
                      </c:pt>
                      <c:pt idx="174">
                        <c:v>2015/7/1</c:v>
                      </c:pt>
                      <c:pt idx="175">
                        <c:v>2015/8/1</c:v>
                      </c:pt>
                      <c:pt idx="176">
                        <c:v>2015/9/1</c:v>
                      </c:pt>
                      <c:pt idx="177">
                        <c:v>2015/10/1</c:v>
                      </c:pt>
                      <c:pt idx="178">
                        <c:v>2015/11/1</c:v>
                      </c:pt>
                      <c:pt idx="179">
                        <c:v>2015/12/1</c:v>
                      </c:pt>
                      <c:pt idx="180">
                        <c:v>2016/1/1</c:v>
                      </c:pt>
                      <c:pt idx="181">
                        <c:v>2016/2/1</c:v>
                      </c:pt>
                      <c:pt idx="182">
                        <c:v>2016/3/1</c:v>
                      </c:pt>
                      <c:pt idx="183">
                        <c:v>2016/4/1</c:v>
                      </c:pt>
                      <c:pt idx="184">
                        <c:v>2016/5/1</c:v>
                      </c:pt>
                      <c:pt idx="185">
                        <c:v>2016/6/1</c:v>
                      </c:pt>
                      <c:pt idx="186">
                        <c:v>2016/7/1</c:v>
                      </c:pt>
                      <c:pt idx="187">
                        <c:v>2016/8/1</c:v>
                      </c:pt>
                      <c:pt idx="188">
                        <c:v>2016/9/1</c:v>
                      </c:pt>
                      <c:pt idx="189">
                        <c:v>2016/10/1</c:v>
                      </c:pt>
                      <c:pt idx="190">
                        <c:v>2016/11/1</c:v>
                      </c:pt>
                      <c:pt idx="191">
                        <c:v>2016/12/1</c:v>
                      </c:pt>
                      <c:pt idx="192">
                        <c:v>2017/1/1</c:v>
                      </c:pt>
                      <c:pt idx="193">
                        <c:v>2017/2/1</c:v>
                      </c:pt>
                      <c:pt idx="194">
                        <c:v>2017/3/1</c:v>
                      </c:pt>
                      <c:pt idx="195">
                        <c:v>2017/4/1</c:v>
                      </c:pt>
                      <c:pt idx="196">
                        <c:v>2017/5/1</c:v>
                      </c:pt>
                      <c:pt idx="197">
                        <c:v>2017/6/1</c:v>
                      </c:pt>
                      <c:pt idx="198">
                        <c:v>2017/7/1</c:v>
                      </c:pt>
                      <c:pt idx="199">
                        <c:v>2017/8/1</c:v>
                      </c:pt>
                      <c:pt idx="200">
                        <c:v>2017/9/1</c:v>
                      </c:pt>
                      <c:pt idx="201">
                        <c:v>2017/10/1</c:v>
                      </c:pt>
                      <c:pt idx="202">
                        <c:v>2017/11/1</c:v>
                      </c:pt>
                      <c:pt idx="203">
                        <c:v>2017/12/1</c:v>
                      </c:pt>
                      <c:pt idx="204">
                        <c:v>2018/1/1</c:v>
                      </c:pt>
                      <c:pt idx="205">
                        <c:v>2018/2/1</c:v>
                      </c:pt>
                      <c:pt idx="206">
                        <c:v>2018/3/1</c:v>
                      </c:pt>
                      <c:pt idx="207">
                        <c:v>2018/4/1</c:v>
                      </c:pt>
                      <c:pt idx="208">
                        <c:v>2018/5/1</c:v>
                      </c:pt>
                      <c:pt idx="209">
                        <c:v>2018/6/1</c:v>
                      </c:pt>
                      <c:pt idx="210">
                        <c:v>2018/7/1</c:v>
                      </c:pt>
                      <c:pt idx="211">
                        <c:v>2018/8/1</c:v>
                      </c:pt>
                      <c:pt idx="212">
                        <c:v>2018/9/1</c:v>
                      </c:pt>
                      <c:pt idx="213">
                        <c:v>2018/10/1</c:v>
                      </c:pt>
                      <c:pt idx="214">
                        <c:v>2018/11/1</c:v>
                      </c:pt>
                      <c:pt idx="215">
                        <c:v>2018/12/1</c:v>
                      </c:pt>
                      <c:pt idx="216">
                        <c:v>2019/1/1</c:v>
                      </c:pt>
                      <c:pt idx="217">
                        <c:v>2019/2/1</c:v>
                      </c:pt>
                      <c:pt idx="218">
                        <c:v>2019/3/1</c:v>
                      </c:pt>
                      <c:pt idx="219">
                        <c:v>2019/4/1</c:v>
                      </c:pt>
                      <c:pt idx="220">
                        <c:v>2019/5/1</c:v>
                      </c:pt>
                      <c:pt idx="221">
                        <c:v>2019/6/1</c:v>
                      </c:pt>
                      <c:pt idx="222">
                        <c:v>2019/7/1</c:v>
                      </c:pt>
                      <c:pt idx="223">
                        <c:v>2019/8/1</c:v>
                      </c:pt>
                      <c:pt idx="224">
                        <c:v>2019/9/1</c:v>
                      </c:pt>
                      <c:pt idx="225">
                        <c:v>2019/10/1</c:v>
                      </c:pt>
                      <c:pt idx="226">
                        <c:v>2019/11/1</c:v>
                      </c:pt>
                      <c:pt idx="227">
                        <c:v>2019/12/1</c:v>
                      </c:pt>
                      <c:pt idx="228">
                        <c:v>2020/1/1</c:v>
                      </c:pt>
                      <c:pt idx="229">
                        <c:v>2020/2/1</c:v>
                      </c:pt>
                      <c:pt idx="230">
                        <c:v>2020/3/1</c:v>
                      </c:pt>
                      <c:pt idx="231">
                        <c:v>2020/4/1</c:v>
                      </c:pt>
                      <c:pt idx="232">
                        <c:v>2020/5/1</c:v>
                      </c:pt>
                      <c:pt idx="233">
                        <c:v>2020/6/1</c:v>
                      </c:pt>
                      <c:pt idx="234">
                        <c:v>2020/7/1</c:v>
                      </c:pt>
                      <c:pt idx="235">
                        <c:v>2020/8/1</c:v>
                      </c:pt>
                      <c:pt idx="236">
                        <c:v>2020/9/1</c:v>
                      </c:pt>
                      <c:pt idx="237">
                        <c:v>2020/10/1</c:v>
                      </c:pt>
                      <c:pt idx="238">
                        <c:v>2020/11/1</c:v>
                      </c:pt>
                      <c:pt idx="239">
                        <c:v>2020/12/1</c:v>
                      </c:pt>
                      <c:pt idx="240">
                        <c:v>2021/1/1</c:v>
                      </c:pt>
                      <c:pt idx="241">
                        <c:v>2021/2/1</c:v>
                      </c:pt>
                      <c:pt idx="242">
                        <c:v>2021/3/1</c:v>
                      </c:pt>
                      <c:pt idx="243">
                        <c:v>2021/4/1</c:v>
                      </c:pt>
                      <c:pt idx="244">
                        <c:v>2021/5/1</c:v>
                      </c:pt>
                      <c:pt idx="245">
                        <c:v>2021/6/1</c:v>
                      </c:pt>
                      <c:pt idx="246">
                        <c:v>2021/7/1</c:v>
                      </c:pt>
                      <c:pt idx="247">
                        <c:v>2021/8/1</c:v>
                      </c:pt>
                      <c:pt idx="248">
                        <c:v>2021/9/1</c:v>
                      </c:pt>
                      <c:pt idx="249">
                        <c:v>2021/10/1</c:v>
                      </c:pt>
                      <c:pt idx="250">
                        <c:v>2021/11/1</c:v>
                      </c:pt>
                      <c:pt idx="251">
                        <c:v>2021/12/1</c:v>
                      </c:pt>
                      <c:pt idx="252">
                        <c:v>2022/1/1</c:v>
                      </c:pt>
                      <c:pt idx="253">
                        <c:v>2022/2/1</c:v>
                      </c:pt>
                      <c:pt idx="254">
                        <c:v>2022/3/1</c:v>
                      </c:pt>
                      <c:pt idx="255">
                        <c:v>2022/4/1</c:v>
                      </c:pt>
                      <c:pt idx="256">
                        <c:v>2022/5/1</c:v>
                      </c:pt>
                      <c:pt idx="257">
                        <c:v>2022/6/1</c:v>
                      </c:pt>
                      <c:pt idx="258">
                        <c:v>2022/7/1</c:v>
                      </c:pt>
                      <c:pt idx="259">
                        <c:v>2022/8/1</c:v>
                      </c:pt>
                      <c:pt idx="260">
                        <c:v>2022/9/1</c:v>
                      </c:pt>
                      <c:pt idx="261">
                        <c:v>2022/10/1</c:v>
                      </c:pt>
                      <c:pt idx="262">
                        <c:v>2022/11/1</c:v>
                      </c:pt>
                      <c:pt idx="263">
                        <c:v>2022/12/1</c:v>
                      </c:pt>
                      <c:pt idx="264">
                        <c:v>2023/1/1</c:v>
                      </c:pt>
                      <c:pt idx="265">
                        <c:v>2023/2/1</c:v>
                      </c:pt>
                      <c:pt idx="266">
                        <c:v>2023/3/1</c:v>
                      </c:pt>
                      <c:pt idx="267">
                        <c:v>2023/4/1</c:v>
                      </c:pt>
                      <c:pt idx="268">
                        <c:v>2023/5/1</c:v>
                      </c:pt>
                      <c:pt idx="269">
                        <c:v>2023/6/1</c:v>
                      </c:pt>
                      <c:pt idx="270">
                        <c:v>2023/7/1</c:v>
                      </c:pt>
                      <c:pt idx="271">
                        <c:v>2023/8/1</c:v>
                      </c:pt>
                      <c:pt idx="272">
                        <c:v>2023/9/1</c:v>
                      </c:pt>
                      <c:pt idx="273">
                        <c:v>2023/10/1</c:v>
                      </c:pt>
                      <c:pt idx="274">
                        <c:v>2023/11/1</c:v>
                      </c:pt>
                      <c:pt idx="275">
                        <c:v>2023/12/1</c:v>
                      </c:pt>
                      <c:pt idx="276">
                        <c:v>2024/1/1</c:v>
                      </c:pt>
                      <c:pt idx="277">
                        <c:v>2024/2/1</c:v>
                      </c:pt>
                      <c:pt idx="278">
                        <c:v>2024/3/1</c:v>
                      </c:pt>
                      <c:pt idx="279">
                        <c:v>2024/4/1</c:v>
                      </c:pt>
                      <c:pt idx="280">
                        <c:v>2024/5/1</c:v>
                      </c:pt>
                      <c:pt idx="281">
                        <c:v>2024/6/1</c:v>
                      </c:pt>
                      <c:pt idx="282">
                        <c:v>2024/7/1</c:v>
                      </c:pt>
                      <c:pt idx="283">
                        <c:v>2024/8/1</c:v>
                      </c:pt>
                      <c:pt idx="284">
                        <c:v>2024/9/1</c:v>
                      </c:pt>
                      <c:pt idx="285">
                        <c:v>2024/10/1</c:v>
                      </c:pt>
                      <c:pt idx="286">
                        <c:v>2024/11/1</c:v>
                      </c:pt>
                      <c:pt idx="287">
                        <c:v>2024/12/1</c:v>
                      </c:pt>
                      <c:pt idx="288">
                        <c:v>2025/1/1</c:v>
                      </c:pt>
                      <c:pt idx="289">
                        <c:v>2025/2/1</c:v>
                      </c:pt>
                      <c:pt idx="290">
                        <c:v>2025/3/1</c:v>
                      </c:pt>
                      <c:pt idx="291">
                        <c:v>2025/4/1</c:v>
                      </c:pt>
                      <c:pt idx="292">
                        <c:v>2025/5/1</c:v>
                      </c:pt>
                      <c:pt idx="293">
                        <c:v>2025/6/1</c:v>
                      </c:pt>
                      <c:pt idx="294">
                        <c:v>2025/7/1</c:v>
                      </c:pt>
                      <c:pt idx="295">
                        <c:v>2025/8/1</c:v>
                      </c:pt>
                      <c:pt idx="296">
                        <c:v>2025/9/1</c:v>
                      </c:pt>
                      <c:pt idx="297">
                        <c:v>2025/10/1</c:v>
                      </c:pt>
                      <c:pt idx="298">
                        <c:v>2025/11/1</c:v>
                      </c:pt>
                      <c:pt idx="299">
                        <c:v>2025/12/1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分析!$B$12:$KO$12</c15:sqref>
                        </c15:formulaRef>
                      </c:ext>
                    </c:extLst>
                    <c:numCache>
                      <c:formatCode>General</c:formatCode>
                      <c:ptCount val="300"/>
                      <c:pt idx="0">
                        <c:v>68.22</c:v>
                      </c:pt>
                      <c:pt idx="1">
                        <c:v>69.1</c:v>
                      </c:pt>
                      <c:pt idx="2">
                        <c:v>69.85</c:v>
                      </c:pt>
                      <c:pt idx="3">
                        <c:v>69.5</c:v>
                      </c:pt>
                      <c:pt idx="4">
                        <c:v>68.8</c:v>
                      </c:pt>
                      <c:pt idx="5">
                        <c:v>67.45</c:v>
                      </c:pt>
                      <c:pt idx="6">
                        <c:v>66.9</c:v>
                      </c:pt>
                      <c:pt idx="7">
                        <c:v>67.15</c:v>
                      </c:pt>
                      <c:pt idx="8">
                        <c:v>68.3</c:v>
                      </c:pt>
                      <c:pt idx="9">
                        <c:v>69.45</c:v>
                      </c:pt>
                      <c:pt idx="10">
                        <c:v>70.12</c:v>
                      </c:pt>
                      <c:pt idx="11">
                        <c:v>71.05</c:v>
                      </c:pt>
                      <c:pt idx="12">
                        <c:v>72.45</c:v>
                      </c:pt>
                      <c:pt idx="13">
                        <c:v>73.1</c:v>
                      </c:pt>
                      <c:pt idx="14">
                        <c:v>72.8</c:v>
                      </c:pt>
                      <c:pt idx="15">
                        <c:v>71.9</c:v>
                      </c:pt>
                      <c:pt idx="16">
                        <c:v>70.45</c:v>
                      </c:pt>
                      <c:pt idx="17">
                        <c:v>69.12</c:v>
                      </c:pt>
                      <c:pt idx="18">
                        <c:v>68.35</c:v>
                      </c:pt>
                      <c:pt idx="19">
                        <c:v>69.1</c:v>
                      </c:pt>
                      <c:pt idx="20">
                        <c:v>70.85</c:v>
                      </c:pt>
                      <c:pt idx="21">
                        <c:v>72.15</c:v>
                      </c:pt>
                      <c:pt idx="22">
                        <c:v>73.5</c:v>
                      </c:pt>
                      <c:pt idx="23">
                        <c:v>74.88</c:v>
                      </c:pt>
                      <c:pt idx="24">
                        <c:v>75.12</c:v>
                      </c:pt>
                      <c:pt idx="25">
                        <c:v>75.85</c:v>
                      </c:pt>
                      <c:pt idx="26">
                        <c:v>74.4</c:v>
                      </c:pt>
                      <c:pt idx="27">
                        <c:v>73.15</c:v>
                      </c:pt>
                      <c:pt idx="28">
                        <c:v>71.8</c:v>
                      </c:pt>
                      <c:pt idx="29">
                        <c:v>70.25</c:v>
                      </c:pt>
                      <c:pt idx="30">
                        <c:v>69.4</c:v>
                      </c:pt>
                      <c:pt idx="31">
                        <c:v>70.8</c:v>
                      </c:pt>
                      <c:pt idx="32">
                        <c:v>72.65</c:v>
                      </c:pt>
                      <c:pt idx="33">
                        <c:v>76.5</c:v>
                      </c:pt>
                      <c:pt idx="34">
                        <c:v>79.92</c:v>
                      </c:pt>
                      <c:pt idx="35">
                        <c:v>81.45</c:v>
                      </c:pt>
                      <c:pt idx="36">
                        <c:v>80.5</c:v>
                      </c:pt>
                      <c:pt idx="37">
                        <c:v>79.8</c:v>
                      </c:pt>
                      <c:pt idx="38">
                        <c:v>78.12</c:v>
                      </c:pt>
                      <c:pt idx="39">
                        <c:v>76.45</c:v>
                      </c:pt>
                      <c:pt idx="40">
                        <c:v>74.3</c:v>
                      </c:pt>
                      <c:pt idx="41">
                        <c:v>72.1</c:v>
                      </c:pt>
                      <c:pt idx="42">
                        <c:v>71.25</c:v>
                      </c:pt>
                      <c:pt idx="43">
                        <c:v>72.4</c:v>
                      </c:pt>
                      <c:pt idx="44">
                        <c:v>73.85</c:v>
                      </c:pt>
                      <c:pt idx="45">
                        <c:v>75.12</c:v>
                      </c:pt>
                      <c:pt idx="46">
                        <c:v>77.95</c:v>
                      </c:pt>
                      <c:pt idx="47">
                        <c:v>79.4</c:v>
                      </c:pt>
                      <c:pt idx="48">
                        <c:v>78.9</c:v>
                      </c:pt>
                      <c:pt idx="49">
                        <c:v>78.15</c:v>
                      </c:pt>
                      <c:pt idx="50">
                        <c:v>77.4</c:v>
                      </c:pt>
                      <c:pt idx="51">
                        <c:v>75.8</c:v>
                      </c:pt>
                      <c:pt idx="52">
                        <c:v>73.25</c:v>
                      </c:pt>
                      <c:pt idx="53">
                        <c:v>71.4</c:v>
                      </c:pt>
                      <c:pt idx="54">
                        <c:v>70.65</c:v>
                      </c:pt>
                      <c:pt idx="55">
                        <c:v>71.85</c:v>
                      </c:pt>
                      <c:pt idx="56">
                        <c:v>73.12</c:v>
                      </c:pt>
                      <c:pt idx="57">
                        <c:v>74.9</c:v>
                      </c:pt>
                      <c:pt idx="58">
                        <c:v>76.55</c:v>
                      </c:pt>
                      <c:pt idx="59">
                        <c:v>78.2</c:v>
                      </c:pt>
                      <c:pt idx="60">
                        <c:v>78.45</c:v>
                      </c:pt>
                      <c:pt idx="61">
                        <c:v>77.9</c:v>
                      </c:pt>
                      <c:pt idx="62">
                        <c:v>76.85</c:v>
                      </c:pt>
                      <c:pt idx="63">
                        <c:v>75.12</c:v>
                      </c:pt>
                      <c:pt idx="64">
                        <c:v>72.8</c:v>
                      </c:pt>
                      <c:pt idx="65">
                        <c:v>70.95</c:v>
                      </c:pt>
                      <c:pt idx="66">
                        <c:v>70.15</c:v>
                      </c:pt>
                      <c:pt idx="67">
                        <c:v>71.3</c:v>
                      </c:pt>
                      <c:pt idx="68">
                        <c:v>72.65</c:v>
                      </c:pt>
                      <c:pt idx="69">
                        <c:v>74.2</c:v>
                      </c:pt>
                      <c:pt idx="70">
                        <c:v>76.1</c:v>
                      </c:pt>
                      <c:pt idx="71">
                        <c:v>77.85</c:v>
                      </c:pt>
                      <c:pt idx="72">
                        <c:v>77.65</c:v>
                      </c:pt>
                      <c:pt idx="73">
                        <c:v>77.2</c:v>
                      </c:pt>
                      <c:pt idx="74">
                        <c:v>76.45</c:v>
                      </c:pt>
                      <c:pt idx="75">
                        <c:v>74.9</c:v>
                      </c:pt>
                      <c:pt idx="76">
                        <c:v>72.35</c:v>
                      </c:pt>
                      <c:pt idx="77">
                        <c:v>70.8</c:v>
                      </c:pt>
                      <c:pt idx="78">
                        <c:v>69.95</c:v>
                      </c:pt>
                      <c:pt idx="79">
                        <c:v>71.12</c:v>
                      </c:pt>
                      <c:pt idx="80">
                        <c:v>72.4</c:v>
                      </c:pt>
                      <c:pt idx="81">
                        <c:v>73.85</c:v>
                      </c:pt>
                      <c:pt idx="82">
                        <c:v>75.92</c:v>
                      </c:pt>
                      <c:pt idx="83">
                        <c:v>77.55</c:v>
                      </c:pt>
                      <c:pt idx="84">
                        <c:v>76.85</c:v>
                      </c:pt>
                      <c:pt idx="85">
                        <c:v>76.1</c:v>
                      </c:pt>
                      <c:pt idx="86">
                        <c:v>74.8</c:v>
                      </c:pt>
                      <c:pt idx="87">
                        <c:v>72.35</c:v>
                      </c:pt>
                      <c:pt idx="88">
                        <c:v>70.4</c:v>
                      </c:pt>
                      <c:pt idx="89">
                        <c:v>68.9</c:v>
                      </c:pt>
                      <c:pt idx="90">
                        <c:v>67.85</c:v>
                      </c:pt>
                      <c:pt idx="91">
                        <c:v>69.12</c:v>
                      </c:pt>
                      <c:pt idx="92">
                        <c:v>71.45</c:v>
                      </c:pt>
                      <c:pt idx="93">
                        <c:v>73.6</c:v>
                      </c:pt>
                      <c:pt idx="94">
                        <c:v>75.95</c:v>
                      </c:pt>
                      <c:pt idx="95">
                        <c:v>77.8</c:v>
                      </c:pt>
                      <c:pt idx="96">
                        <c:v>77.15</c:v>
                      </c:pt>
                      <c:pt idx="97">
                        <c:v>76.8</c:v>
                      </c:pt>
                      <c:pt idx="98">
                        <c:v>75.95</c:v>
                      </c:pt>
                      <c:pt idx="99">
                        <c:v>74.12</c:v>
                      </c:pt>
                      <c:pt idx="100">
                        <c:v>72.45</c:v>
                      </c:pt>
                      <c:pt idx="101">
                        <c:v>70.8</c:v>
                      </c:pt>
                      <c:pt idx="102">
                        <c:v>69.75</c:v>
                      </c:pt>
                      <c:pt idx="103">
                        <c:v>70.9</c:v>
                      </c:pt>
                      <c:pt idx="104">
                        <c:v>72.55</c:v>
                      </c:pt>
                      <c:pt idx="105">
                        <c:v>74.3</c:v>
                      </c:pt>
                      <c:pt idx="106">
                        <c:v>76.45</c:v>
                      </c:pt>
                      <c:pt idx="107">
                        <c:v>78.6</c:v>
                      </c:pt>
                      <c:pt idx="108">
                        <c:v>79.15</c:v>
                      </c:pt>
                      <c:pt idx="109">
                        <c:v>78.4</c:v>
                      </c:pt>
                      <c:pt idx="110">
                        <c:v>77.25</c:v>
                      </c:pt>
                      <c:pt idx="111">
                        <c:v>75.8</c:v>
                      </c:pt>
                      <c:pt idx="112">
                        <c:v>73.4</c:v>
                      </c:pt>
                      <c:pt idx="113">
                        <c:v>71.95</c:v>
                      </c:pt>
                      <c:pt idx="114">
                        <c:v>70.45</c:v>
                      </c:pt>
                      <c:pt idx="115">
                        <c:v>72.1</c:v>
                      </c:pt>
                      <c:pt idx="116">
                        <c:v>74.35</c:v>
                      </c:pt>
                      <c:pt idx="117">
                        <c:v>76.8</c:v>
                      </c:pt>
                      <c:pt idx="118">
                        <c:v>79.55</c:v>
                      </c:pt>
                      <c:pt idx="119">
                        <c:v>82.3</c:v>
                      </c:pt>
                      <c:pt idx="120">
                        <c:v>83.15</c:v>
                      </c:pt>
                      <c:pt idx="121">
                        <c:v>82.8</c:v>
                      </c:pt>
                      <c:pt idx="122">
                        <c:v>80.45</c:v>
                      </c:pt>
                      <c:pt idx="123">
                        <c:v>78.9</c:v>
                      </c:pt>
                      <c:pt idx="124">
                        <c:v>76.12</c:v>
                      </c:pt>
                      <c:pt idx="125">
                        <c:v>73.85</c:v>
                      </c:pt>
                      <c:pt idx="126">
                        <c:v>72.1</c:v>
                      </c:pt>
                      <c:pt idx="127">
                        <c:v>74.35</c:v>
                      </c:pt>
                      <c:pt idx="128">
                        <c:v>77.2</c:v>
                      </c:pt>
                      <c:pt idx="129">
                        <c:v>80.15</c:v>
                      </c:pt>
                      <c:pt idx="130">
                        <c:v>83.9</c:v>
                      </c:pt>
                      <c:pt idx="131">
                        <c:v>85.65</c:v>
                      </c:pt>
                      <c:pt idx="132">
                        <c:v>86.12</c:v>
                      </c:pt>
                      <c:pt idx="133">
                        <c:v>85.8</c:v>
                      </c:pt>
                      <c:pt idx="134">
                        <c:v>83.45</c:v>
                      </c:pt>
                      <c:pt idx="135">
                        <c:v>80.9</c:v>
                      </c:pt>
                      <c:pt idx="136">
                        <c:v>77.12</c:v>
                      </c:pt>
                      <c:pt idx="137">
                        <c:v>75.85</c:v>
                      </c:pt>
                      <c:pt idx="138">
                        <c:v>74.1</c:v>
                      </c:pt>
                      <c:pt idx="139">
                        <c:v>76.35</c:v>
                      </c:pt>
                      <c:pt idx="140">
                        <c:v>80.2</c:v>
                      </c:pt>
                      <c:pt idx="141">
                        <c:v>84.15</c:v>
                      </c:pt>
                      <c:pt idx="142">
                        <c:v>87.9</c:v>
                      </c:pt>
                      <c:pt idx="143">
                        <c:v>88.65</c:v>
                      </c:pt>
                      <c:pt idx="144">
                        <c:v>87.95</c:v>
                      </c:pt>
                      <c:pt idx="145">
                        <c:v>87.1</c:v>
                      </c:pt>
                      <c:pt idx="146">
                        <c:v>85.35</c:v>
                      </c:pt>
                      <c:pt idx="147">
                        <c:v>82.12</c:v>
                      </c:pt>
                      <c:pt idx="148">
                        <c:v>78.45</c:v>
                      </c:pt>
                      <c:pt idx="149">
                        <c:v>76.1</c:v>
                      </c:pt>
                      <c:pt idx="150">
                        <c:v>73.8</c:v>
                      </c:pt>
                      <c:pt idx="151">
                        <c:v>75.95</c:v>
                      </c:pt>
                      <c:pt idx="152">
                        <c:v>79.4</c:v>
                      </c:pt>
                      <c:pt idx="153">
                        <c:v>83.12</c:v>
                      </c:pt>
                      <c:pt idx="154">
                        <c:v>86.45</c:v>
                      </c:pt>
                      <c:pt idx="155">
                        <c:v>87.2</c:v>
                      </c:pt>
                      <c:pt idx="156">
                        <c:v>86.15</c:v>
                      </c:pt>
                      <c:pt idx="157">
                        <c:v>85.3</c:v>
                      </c:pt>
                      <c:pt idx="158">
                        <c:v>82.4</c:v>
                      </c:pt>
                      <c:pt idx="159">
                        <c:v>79.15</c:v>
                      </c:pt>
                      <c:pt idx="160">
                        <c:v>76.2</c:v>
                      </c:pt>
                      <c:pt idx="161">
                        <c:v>74.35</c:v>
                      </c:pt>
                      <c:pt idx="162">
                        <c:v>72.15</c:v>
                      </c:pt>
                      <c:pt idx="163">
                        <c:v>73.6</c:v>
                      </c:pt>
                      <c:pt idx="164">
                        <c:v>75.12</c:v>
                      </c:pt>
                      <c:pt idx="165">
                        <c:v>78.45</c:v>
                      </c:pt>
                      <c:pt idx="166">
                        <c:v>81.3</c:v>
                      </c:pt>
                      <c:pt idx="167">
                        <c:v>83.15</c:v>
                      </c:pt>
                      <c:pt idx="168">
                        <c:v>82.45</c:v>
                      </c:pt>
                      <c:pt idx="169">
                        <c:v>81.9</c:v>
                      </c:pt>
                      <c:pt idx="170">
                        <c:v>79.12</c:v>
                      </c:pt>
                      <c:pt idx="171">
                        <c:v>77.4</c:v>
                      </c:pt>
                      <c:pt idx="172">
                        <c:v>75.35</c:v>
                      </c:pt>
                      <c:pt idx="173">
                        <c:v>73.8</c:v>
                      </c:pt>
                      <c:pt idx="174">
                        <c:v>72.65</c:v>
                      </c:pt>
                      <c:pt idx="175">
                        <c:v>73.95</c:v>
                      </c:pt>
                      <c:pt idx="176">
                        <c:v>75.2</c:v>
                      </c:pt>
                      <c:pt idx="177">
                        <c:v>77.12</c:v>
                      </c:pt>
                      <c:pt idx="178">
                        <c:v>79.8</c:v>
                      </c:pt>
                      <c:pt idx="179">
                        <c:v>81.45</c:v>
                      </c:pt>
                      <c:pt idx="180">
                        <c:v>80.85</c:v>
                      </c:pt>
                      <c:pt idx="181">
                        <c:v>79.9</c:v>
                      </c:pt>
                      <c:pt idx="182">
                        <c:v>78.15</c:v>
                      </c:pt>
                      <c:pt idx="183">
                        <c:v>75.8</c:v>
                      </c:pt>
                      <c:pt idx="184">
                        <c:v>73.12</c:v>
                      </c:pt>
                      <c:pt idx="185">
                        <c:v>71.45</c:v>
                      </c:pt>
                      <c:pt idx="186">
                        <c:v>70.2</c:v>
                      </c:pt>
                      <c:pt idx="187">
                        <c:v>71.3</c:v>
                      </c:pt>
                      <c:pt idx="188">
                        <c:v>72.85</c:v>
                      </c:pt>
                      <c:pt idx="189">
                        <c:v>74.9</c:v>
                      </c:pt>
                      <c:pt idx="190">
                        <c:v>77.15</c:v>
                      </c:pt>
                      <c:pt idx="191">
                        <c:v>79.4</c:v>
                      </c:pt>
                      <c:pt idx="192">
                        <c:v>78.95</c:v>
                      </c:pt>
                      <c:pt idx="193">
                        <c:v>78.1</c:v>
                      </c:pt>
                      <c:pt idx="194">
                        <c:v>77.25</c:v>
                      </c:pt>
                      <c:pt idx="195">
                        <c:v>75.4</c:v>
                      </c:pt>
                      <c:pt idx="196">
                        <c:v>73.15</c:v>
                      </c:pt>
                      <c:pt idx="197">
                        <c:v>71.9</c:v>
                      </c:pt>
                      <c:pt idx="198">
                        <c:v>70.4</c:v>
                      </c:pt>
                      <c:pt idx="199">
                        <c:v>71.2</c:v>
                      </c:pt>
                      <c:pt idx="200">
                        <c:v>72.85</c:v>
                      </c:pt>
                      <c:pt idx="201">
                        <c:v>74.3</c:v>
                      </c:pt>
                      <c:pt idx="202">
                        <c:v>76.85</c:v>
                      </c:pt>
                      <c:pt idx="203">
                        <c:v>78.2</c:v>
                      </c:pt>
                      <c:pt idx="204">
                        <c:v>77.85</c:v>
                      </c:pt>
                      <c:pt idx="205">
                        <c:v>77.1</c:v>
                      </c:pt>
                      <c:pt idx="206">
                        <c:v>76.25</c:v>
                      </c:pt>
                      <c:pt idx="207">
                        <c:v>74.9</c:v>
                      </c:pt>
                      <c:pt idx="208">
                        <c:v>72.8</c:v>
                      </c:pt>
                      <c:pt idx="209">
                        <c:v>71.15</c:v>
                      </c:pt>
                      <c:pt idx="210">
                        <c:v>69.85</c:v>
                      </c:pt>
                      <c:pt idx="211">
                        <c:v>70.9</c:v>
                      </c:pt>
                      <c:pt idx="212">
                        <c:v>72.35</c:v>
                      </c:pt>
                      <c:pt idx="213">
                        <c:v>74.1</c:v>
                      </c:pt>
                      <c:pt idx="214">
                        <c:v>76.45</c:v>
                      </c:pt>
                      <c:pt idx="215">
                        <c:v>77.9</c:v>
                      </c:pt>
                      <c:pt idx="216">
                        <c:v>77.4</c:v>
                      </c:pt>
                      <c:pt idx="217">
                        <c:v>76.95</c:v>
                      </c:pt>
                      <c:pt idx="218">
                        <c:v>75.8</c:v>
                      </c:pt>
                      <c:pt idx="219">
                        <c:v>73.45</c:v>
                      </c:pt>
                      <c:pt idx="220">
                        <c:v>71.2</c:v>
                      </c:pt>
                      <c:pt idx="221">
                        <c:v>69.85</c:v>
                      </c:pt>
                      <c:pt idx="222">
                        <c:v>68.65</c:v>
                      </c:pt>
                      <c:pt idx="223">
                        <c:v>69.7</c:v>
                      </c:pt>
                      <c:pt idx="224">
                        <c:v>71.12</c:v>
                      </c:pt>
                      <c:pt idx="225">
                        <c:v>73.4</c:v>
                      </c:pt>
                      <c:pt idx="226">
                        <c:v>75.9</c:v>
                      </c:pt>
                      <c:pt idx="227">
                        <c:v>77.15</c:v>
                      </c:pt>
                      <c:pt idx="228">
                        <c:v>77.6</c:v>
                      </c:pt>
                      <c:pt idx="229">
                        <c:v>77.1</c:v>
                      </c:pt>
                      <c:pt idx="230">
                        <c:v>75.95</c:v>
                      </c:pt>
                      <c:pt idx="231">
                        <c:v>73.8</c:v>
                      </c:pt>
                      <c:pt idx="232">
                        <c:v>71.45</c:v>
                      </c:pt>
                      <c:pt idx="233">
                        <c:v>69.9</c:v>
                      </c:pt>
                      <c:pt idx="234">
                        <c:v>68.95</c:v>
                      </c:pt>
                      <c:pt idx="235">
                        <c:v>70.12</c:v>
                      </c:pt>
                      <c:pt idx="236">
                        <c:v>71.85</c:v>
                      </c:pt>
                      <c:pt idx="237">
                        <c:v>74.3</c:v>
                      </c:pt>
                      <c:pt idx="238">
                        <c:v>77.15</c:v>
                      </c:pt>
                      <c:pt idx="239">
                        <c:v>78.45</c:v>
                      </c:pt>
                      <c:pt idx="240">
                        <c:v>79.15</c:v>
                      </c:pt>
                      <c:pt idx="241">
                        <c:v>78.4</c:v>
                      </c:pt>
                      <c:pt idx="242">
                        <c:v>77.25</c:v>
                      </c:pt>
                      <c:pt idx="243">
                        <c:v>74.8</c:v>
                      </c:pt>
                      <c:pt idx="244">
                        <c:v>72.45</c:v>
                      </c:pt>
                      <c:pt idx="245">
                        <c:v>71.1</c:v>
                      </c:pt>
                      <c:pt idx="246">
                        <c:v>69.85</c:v>
                      </c:pt>
                      <c:pt idx="247">
                        <c:v>71.35</c:v>
                      </c:pt>
                      <c:pt idx="248">
                        <c:v>73.8</c:v>
                      </c:pt>
                      <c:pt idx="249">
                        <c:v>76.95</c:v>
                      </c:pt>
                      <c:pt idx="250">
                        <c:v>80.3</c:v>
                      </c:pt>
                      <c:pt idx="251">
                        <c:v>83.15</c:v>
                      </c:pt>
                      <c:pt idx="252">
                        <c:v>84.3</c:v>
                      </c:pt>
                      <c:pt idx="253">
                        <c:v>83.65</c:v>
                      </c:pt>
                      <c:pt idx="254">
                        <c:v>81.2</c:v>
                      </c:pt>
                      <c:pt idx="255">
                        <c:v>78.45</c:v>
                      </c:pt>
                      <c:pt idx="256">
                        <c:v>75.12</c:v>
                      </c:pt>
                      <c:pt idx="257">
                        <c:v>72.45</c:v>
                      </c:pt>
                      <c:pt idx="258">
                        <c:v>70.65</c:v>
                      </c:pt>
                      <c:pt idx="259">
                        <c:v>73.15</c:v>
                      </c:pt>
                      <c:pt idx="260">
                        <c:v>76.8</c:v>
                      </c:pt>
                      <c:pt idx="261">
                        <c:v>81.45</c:v>
                      </c:pt>
                      <c:pt idx="262">
                        <c:v>85.9</c:v>
                      </c:pt>
                      <c:pt idx="263">
                        <c:v>88.15</c:v>
                      </c:pt>
                      <c:pt idx="264">
                        <c:v>87.45</c:v>
                      </c:pt>
                      <c:pt idx="265">
                        <c:v>86.8</c:v>
                      </c:pt>
                      <c:pt idx="266">
                        <c:v>84.12</c:v>
                      </c:pt>
                      <c:pt idx="267">
                        <c:v>81.3</c:v>
                      </c:pt>
                      <c:pt idx="268">
                        <c:v>78.45</c:v>
                      </c:pt>
                      <c:pt idx="269">
                        <c:v>76.1</c:v>
                      </c:pt>
                      <c:pt idx="270">
                        <c:v>74.15</c:v>
                      </c:pt>
                      <c:pt idx="271">
                        <c:v>76.8</c:v>
                      </c:pt>
                      <c:pt idx="272">
                        <c:v>79.45</c:v>
                      </c:pt>
                      <c:pt idx="273">
                        <c:v>83.12</c:v>
                      </c:pt>
                      <c:pt idx="274">
                        <c:v>86.6</c:v>
                      </c:pt>
                      <c:pt idx="275">
                        <c:v>88.45</c:v>
                      </c:pt>
                      <c:pt idx="276">
                        <c:v>88.25</c:v>
                      </c:pt>
                      <c:pt idx="277">
                        <c:v>87.6</c:v>
                      </c:pt>
                      <c:pt idx="278">
                        <c:v>85.35</c:v>
                      </c:pt>
                      <c:pt idx="279">
                        <c:v>82.1</c:v>
                      </c:pt>
                      <c:pt idx="280">
                        <c:v>79.45</c:v>
                      </c:pt>
                      <c:pt idx="281">
                        <c:v>76.85</c:v>
                      </c:pt>
                      <c:pt idx="282">
                        <c:v>73.15</c:v>
                      </c:pt>
                      <c:pt idx="283">
                        <c:v>75.6</c:v>
                      </c:pt>
                      <c:pt idx="284">
                        <c:v>78.12</c:v>
                      </c:pt>
                      <c:pt idx="285">
                        <c:v>82.4</c:v>
                      </c:pt>
                      <c:pt idx="286">
                        <c:v>86.15</c:v>
                      </c:pt>
                      <c:pt idx="287">
                        <c:v>87.9</c:v>
                      </c:pt>
                      <c:pt idx="288">
                        <c:v>87.65</c:v>
                      </c:pt>
                      <c:pt idx="289">
                        <c:v>87.12</c:v>
                      </c:pt>
                      <c:pt idx="290">
                        <c:v>84.95</c:v>
                      </c:pt>
                      <c:pt idx="291">
                        <c:v>81.3</c:v>
                      </c:pt>
                      <c:pt idx="292">
                        <c:v>78.15</c:v>
                      </c:pt>
                      <c:pt idx="293">
                        <c:v>75.4</c:v>
                      </c:pt>
                      <c:pt idx="294">
                        <c:v>72.9</c:v>
                      </c:pt>
                      <c:pt idx="295">
                        <c:v>74.85</c:v>
                      </c:pt>
                      <c:pt idx="296">
                        <c:v>77.2</c:v>
                      </c:pt>
                      <c:pt idx="297">
                        <c:v>81.65</c:v>
                      </c:pt>
                      <c:pt idx="298">
                        <c:v>85.12</c:v>
                      </c:pt>
                      <c:pt idx="299">
                        <c:v>87.25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分析!$A$13</c15:sqref>
                        </c15:formulaRef>
                      </c:ext>
                    </c:extLst>
                    <c:strCache>
                      <c:ptCount val="1"/>
                      <c:pt idx="0">
                        <c:v>二氧化碳平均浓度除以10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 forceAA="0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微软雅黑" panose="020B0503020204020204" charset="-122"/>
                          <a:ea typeface="微软雅黑" panose="020B0503020204020204" charset="-122"/>
                          <a:cs typeface="微软雅黑" panose="020B0503020204020204" charset="-122"/>
                          <a:sym typeface="微软雅黑" panose="020B0503020204020204" charset="-122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分析!$B$1:$KO$1</c15:sqref>
                        </c15:formulaRef>
                      </c:ext>
                    </c:extLst>
                    <c:strCache>
                      <c:ptCount val="300"/>
                      <c:pt idx="0">
                        <c:v>2001/1/1</c:v>
                      </c:pt>
                      <c:pt idx="1">
                        <c:v>2001/2/1</c:v>
                      </c:pt>
                      <c:pt idx="2">
                        <c:v>2001/3/1</c:v>
                      </c:pt>
                      <c:pt idx="3">
                        <c:v>2001/4/1</c:v>
                      </c:pt>
                      <c:pt idx="4">
                        <c:v>2001/5/1</c:v>
                      </c:pt>
                      <c:pt idx="5">
                        <c:v>2001/6/1</c:v>
                      </c:pt>
                      <c:pt idx="6">
                        <c:v>2001/7/1</c:v>
                      </c:pt>
                      <c:pt idx="7">
                        <c:v>2001/8/1</c:v>
                      </c:pt>
                      <c:pt idx="8">
                        <c:v>2001/9/1</c:v>
                      </c:pt>
                      <c:pt idx="9">
                        <c:v>2001/10/1</c:v>
                      </c:pt>
                      <c:pt idx="10">
                        <c:v>2001/11/1</c:v>
                      </c:pt>
                      <c:pt idx="11">
                        <c:v>2001/12/1</c:v>
                      </c:pt>
                      <c:pt idx="12">
                        <c:v>2002/1/1</c:v>
                      </c:pt>
                      <c:pt idx="13">
                        <c:v>2002/2/1</c:v>
                      </c:pt>
                      <c:pt idx="14">
                        <c:v>2002/3/1</c:v>
                      </c:pt>
                      <c:pt idx="15">
                        <c:v>2002/4/1</c:v>
                      </c:pt>
                      <c:pt idx="16">
                        <c:v>2002/5/1</c:v>
                      </c:pt>
                      <c:pt idx="17">
                        <c:v>2002/6/1</c:v>
                      </c:pt>
                      <c:pt idx="18">
                        <c:v>2002/7/1</c:v>
                      </c:pt>
                      <c:pt idx="19">
                        <c:v>2002/8/1</c:v>
                      </c:pt>
                      <c:pt idx="20">
                        <c:v>2002/9/1</c:v>
                      </c:pt>
                      <c:pt idx="21">
                        <c:v>2002/10/1</c:v>
                      </c:pt>
                      <c:pt idx="22">
                        <c:v>2002/11/1</c:v>
                      </c:pt>
                      <c:pt idx="23">
                        <c:v>2002/12/1</c:v>
                      </c:pt>
                      <c:pt idx="24">
                        <c:v>2003/1/1</c:v>
                      </c:pt>
                      <c:pt idx="25">
                        <c:v>2003/2/1</c:v>
                      </c:pt>
                      <c:pt idx="26">
                        <c:v>2003/3/1</c:v>
                      </c:pt>
                      <c:pt idx="27">
                        <c:v>2003/4/1</c:v>
                      </c:pt>
                      <c:pt idx="28">
                        <c:v>2003/5/1</c:v>
                      </c:pt>
                      <c:pt idx="29">
                        <c:v>2003/6/1</c:v>
                      </c:pt>
                      <c:pt idx="30">
                        <c:v>2003/7/1</c:v>
                      </c:pt>
                      <c:pt idx="31">
                        <c:v>2003/8/1</c:v>
                      </c:pt>
                      <c:pt idx="32">
                        <c:v>2003/9/1</c:v>
                      </c:pt>
                      <c:pt idx="33">
                        <c:v>2003/10/1</c:v>
                      </c:pt>
                      <c:pt idx="34">
                        <c:v>2003/11/1</c:v>
                      </c:pt>
                      <c:pt idx="35">
                        <c:v>2003/12/1</c:v>
                      </c:pt>
                      <c:pt idx="36">
                        <c:v>2004/1/1</c:v>
                      </c:pt>
                      <c:pt idx="37">
                        <c:v>2004/2/1</c:v>
                      </c:pt>
                      <c:pt idx="38">
                        <c:v>2004/3/1</c:v>
                      </c:pt>
                      <c:pt idx="39">
                        <c:v>2004/4/1</c:v>
                      </c:pt>
                      <c:pt idx="40">
                        <c:v>2004/5/1</c:v>
                      </c:pt>
                      <c:pt idx="41">
                        <c:v>2004/6/1</c:v>
                      </c:pt>
                      <c:pt idx="42">
                        <c:v>2004/7/1</c:v>
                      </c:pt>
                      <c:pt idx="43">
                        <c:v>2004/8/1</c:v>
                      </c:pt>
                      <c:pt idx="44">
                        <c:v>2004/9/1</c:v>
                      </c:pt>
                      <c:pt idx="45">
                        <c:v>2004/10/1</c:v>
                      </c:pt>
                      <c:pt idx="46">
                        <c:v>2004/11/1</c:v>
                      </c:pt>
                      <c:pt idx="47">
                        <c:v>2004/12/1</c:v>
                      </c:pt>
                      <c:pt idx="48">
                        <c:v>2005/1/1</c:v>
                      </c:pt>
                      <c:pt idx="49">
                        <c:v>2005/2/1</c:v>
                      </c:pt>
                      <c:pt idx="50">
                        <c:v>2005/3/1</c:v>
                      </c:pt>
                      <c:pt idx="51">
                        <c:v>2005/4/1</c:v>
                      </c:pt>
                      <c:pt idx="52">
                        <c:v>2005/5/1</c:v>
                      </c:pt>
                      <c:pt idx="53">
                        <c:v>2005/6/1</c:v>
                      </c:pt>
                      <c:pt idx="54">
                        <c:v>2005/7/1</c:v>
                      </c:pt>
                      <c:pt idx="55">
                        <c:v>2005/8/1</c:v>
                      </c:pt>
                      <c:pt idx="56">
                        <c:v>2005/9/1</c:v>
                      </c:pt>
                      <c:pt idx="57">
                        <c:v>2005/10/1</c:v>
                      </c:pt>
                      <c:pt idx="58">
                        <c:v>2005/11/1</c:v>
                      </c:pt>
                      <c:pt idx="59">
                        <c:v>2005/12/1</c:v>
                      </c:pt>
                      <c:pt idx="60">
                        <c:v>2006/1/1</c:v>
                      </c:pt>
                      <c:pt idx="61">
                        <c:v>2006/2/1</c:v>
                      </c:pt>
                      <c:pt idx="62">
                        <c:v>2006/3/1</c:v>
                      </c:pt>
                      <c:pt idx="63">
                        <c:v>2006/4/1</c:v>
                      </c:pt>
                      <c:pt idx="64">
                        <c:v>2006/5/1</c:v>
                      </c:pt>
                      <c:pt idx="65">
                        <c:v>2006/6/1</c:v>
                      </c:pt>
                      <c:pt idx="66">
                        <c:v>2006/7/1</c:v>
                      </c:pt>
                      <c:pt idx="67">
                        <c:v>2006/8/1</c:v>
                      </c:pt>
                      <c:pt idx="68">
                        <c:v>2006/9/1</c:v>
                      </c:pt>
                      <c:pt idx="69">
                        <c:v>2006/10/1</c:v>
                      </c:pt>
                      <c:pt idx="70">
                        <c:v>2006/11/1</c:v>
                      </c:pt>
                      <c:pt idx="71">
                        <c:v>2006/12/1</c:v>
                      </c:pt>
                      <c:pt idx="72">
                        <c:v>2007/1/1</c:v>
                      </c:pt>
                      <c:pt idx="73">
                        <c:v>2007/2/1</c:v>
                      </c:pt>
                      <c:pt idx="74">
                        <c:v>2007/3/1</c:v>
                      </c:pt>
                      <c:pt idx="75">
                        <c:v>2007/4/1</c:v>
                      </c:pt>
                      <c:pt idx="76">
                        <c:v>2007/5/1</c:v>
                      </c:pt>
                      <c:pt idx="77">
                        <c:v>2007/6/1</c:v>
                      </c:pt>
                      <c:pt idx="78">
                        <c:v>2007/7/1</c:v>
                      </c:pt>
                      <c:pt idx="79">
                        <c:v>2007/8/1</c:v>
                      </c:pt>
                      <c:pt idx="80">
                        <c:v>2007/9/1</c:v>
                      </c:pt>
                      <c:pt idx="81">
                        <c:v>2007/10/1</c:v>
                      </c:pt>
                      <c:pt idx="82">
                        <c:v>2007/11/1</c:v>
                      </c:pt>
                      <c:pt idx="83">
                        <c:v>2007/12/1</c:v>
                      </c:pt>
                      <c:pt idx="84">
                        <c:v>2008/1/1</c:v>
                      </c:pt>
                      <c:pt idx="85">
                        <c:v>2008/2/1</c:v>
                      </c:pt>
                      <c:pt idx="86">
                        <c:v>2008/3/1</c:v>
                      </c:pt>
                      <c:pt idx="87">
                        <c:v>2008/4/1</c:v>
                      </c:pt>
                      <c:pt idx="88">
                        <c:v>2008/5/1</c:v>
                      </c:pt>
                      <c:pt idx="89">
                        <c:v>2008/6/1</c:v>
                      </c:pt>
                      <c:pt idx="90">
                        <c:v>2008/7/1</c:v>
                      </c:pt>
                      <c:pt idx="91">
                        <c:v>2008/8/1</c:v>
                      </c:pt>
                      <c:pt idx="92">
                        <c:v>2008/9/1</c:v>
                      </c:pt>
                      <c:pt idx="93">
                        <c:v>2008/10/1</c:v>
                      </c:pt>
                      <c:pt idx="94">
                        <c:v>2008/11/1</c:v>
                      </c:pt>
                      <c:pt idx="95">
                        <c:v>2008/12/1</c:v>
                      </c:pt>
                      <c:pt idx="96">
                        <c:v>2009/1/1</c:v>
                      </c:pt>
                      <c:pt idx="97">
                        <c:v>2009/2/1</c:v>
                      </c:pt>
                      <c:pt idx="98">
                        <c:v>2009/3/1</c:v>
                      </c:pt>
                      <c:pt idx="99">
                        <c:v>2009/4/1</c:v>
                      </c:pt>
                      <c:pt idx="100">
                        <c:v>2009/5/1</c:v>
                      </c:pt>
                      <c:pt idx="101">
                        <c:v>2009/6/1</c:v>
                      </c:pt>
                      <c:pt idx="102">
                        <c:v>2009/7/1</c:v>
                      </c:pt>
                      <c:pt idx="103">
                        <c:v>2009/8/1</c:v>
                      </c:pt>
                      <c:pt idx="104">
                        <c:v>2009/9/1</c:v>
                      </c:pt>
                      <c:pt idx="105">
                        <c:v>2009/10/1</c:v>
                      </c:pt>
                      <c:pt idx="106">
                        <c:v>2009/11/1</c:v>
                      </c:pt>
                      <c:pt idx="107">
                        <c:v>2009/12/1</c:v>
                      </c:pt>
                      <c:pt idx="108">
                        <c:v>2010/1/1</c:v>
                      </c:pt>
                      <c:pt idx="109">
                        <c:v>2010/2/1</c:v>
                      </c:pt>
                      <c:pt idx="110">
                        <c:v>2010/3/1</c:v>
                      </c:pt>
                      <c:pt idx="111">
                        <c:v>2010/4/1</c:v>
                      </c:pt>
                      <c:pt idx="112">
                        <c:v>2010/5/1</c:v>
                      </c:pt>
                      <c:pt idx="113">
                        <c:v>2010/6/1</c:v>
                      </c:pt>
                      <c:pt idx="114">
                        <c:v>2010/7/1</c:v>
                      </c:pt>
                      <c:pt idx="115">
                        <c:v>2010/8/1</c:v>
                      </c:pt>
                      <c:pt idx="116">
                        <c:v>2010/9/1</c:v>
                      </c:pt>
                      <c:pt idx="117">
                        <c:v>2010/10/1</c:v>
                      </c:pt>
                      <c:pt idx="118">
                        <c:v>2010/11/1</c:v>
                      </c:pt>
                      <c:pt idx="119">
                        <c:v>2010/12/1</c:v>
                      </c:pt>
                      <c:pt idx="120">
                        <c:v>2011/1/1</c:v>
                      </c:pt>
                      <c:pt idx="121">
                        <c:v>2011/2/1</c:v>
                      </c:pt>
                      <c:pt idx="122">
                        <c:v>2011/3/1</c:v>
                      </c:pt>
                      <c:pt idx="123">
                        <c:v>2011/4/1</c:v>
                      </c:pt>
                      <c:pt idx="124">
                        <c:v>2011/5/1</c:v>
                      </c:pt>
                      <c:pt idx="125">
                        <c:v>2011/6/1</c:v>
                      </c:pt>
                      <c:pt idx="126">
                        <c:v>2011/7/1</c:v>
                      </c:pt>
                      <c:pt idx="127">
                        <c:v>2011/8/1</c:v>
                      </c:pt>
                      <c:pt idx="128">
                        <c:v>2011/9/1</c:v>
                      </c:pt>
                      <c:pt idx="129">
                        <c:v>2011/10/1</c:v>
                      </c:pt>
                      <c:pt idx="130">
                        <c:v>2011/11/1</c:v>
                      </c:pt>
                      <c:pt idx="131">
                        <c:v>2011/12/1</c:v>
                      </c:pt>
                      <c:pt idx="132">
                        <c:v>2012/1/1</c:v>
                      </c:pt>
                      <c:pt idx="133">
                        <c:v>2012/2/1</c:v>
                      </c:pt>
                      <c:pt idx="134">
                        <c:v>2012/3/1</c:v>
                      </c:pt>
                      <c:pt idx="135">
                        <c:v>2012/4/1</c:v>
                      </c:pt>
                      <c:pt idx="136">
                        <c:v>2012/5/1</c:v>
                      </c:pt>
                      <c:pt idx="137">
                        <c:v>2012/6/1</c:v>
                      </c:pt>
                      <c:pt idx="138">
                        <c:v>2012/7/1</c:v>
                      </c:pt>
                      <c:pt idx="139">
                        <c:v>2012/8/1</c:v>
                      </c:pt>
                      <c:pt idx="140">
                        <c:v>2012/9/1</c:v>
                      </c:pt>
                      <c:pt idx="141">
                        <c:v>2012/10/1</c:v>
                      </c:pt>
                      <c:pt idx="142">
                        <c:v>2012/11/1</c:v>
                      </c:pt>
                      <c:pt idx="143">
                        <c:v>2012/12/1</c:v>
                      </c:pt>
                      <c:pt idx="144">
                        <c:v>2013/1/1</c:v>
                      </c:pt>
                      <c:pt idx="145">
                        <c:v>2013/2/1</c:v>
                      </c:pt>
                      <c:pt idx="146">
                        <c:v>2013/3/1</c:v>
                      </c:pt>
                      <c:pt idx="147">
                        <c:v>2013/4/1</c:v>
                      </c:pt>
                      <c:pt idx="148">
                        <c:v>2013/5/1</c:v>
                      </c:pt>
                      <c:pt idx="149">
                        <c:v>2013/6/1</c:v>
                      </c:pt>
                      <c:pt idx="150">
                        <c:v>2013/7/1</c:v>
                      </c:pt>
                      <c:pt idx="151">
                        <c:v>2013/8/1</c:v>
                      </c:pt>
                      <c:pt idx="152">
                        <c:v>2013/9/1</c:v>
                      </c:pt>
                      <c:pt idx="153">
                        <c:v>2013/10/1</c:v>
                      </c:pt>
                      <c:pt idx="154">
                        <c:v>2013/11/1</c:v>
                      </c:pt>
                      <c:pt idx="155">
                        <c:v>2013/12/1</c:v>
                      </c:pt>
                      <c:pt idx="156">
                        <c:v>2014/1/1</c:v>
                      </c:pt>
                      <c:pt idx="157">
                        <c:v>2014/2/1</c:v>
                      </c:pt>
                      <c:pt idx="158">
                        <c:v>2014/3/1</c:v>
                      </c:pt>
                      <c:pt idx="159">
                        <c:v>2014/4/1</c:v>
                      </c:pt>
                      <c:pt idx="160">
                        <c:v>2014/5/1</c:v>
                      </c:pt>
                      <c:pt idx="161">
                        <c:v>2014/6/1</c:v>
                      </c:pt>
                      <c:pt idx="162">
                        <c:v>2014/7/1</c:v>
                      </c:pt>
                      <c:pt idx="163">
                        <c:v>2014/8/1</c:v>
                      </c:pt>
                      <c:pt idx="164">
                        <c:v>2014/9/1</c:v>
                      </c:pt>
                      <c:pt idx="165">
                        <c:v>2014/10/1</c:v>
                      </c:pt>
                      <c:pt idx="166">
                        <c:v>2014/11/1</c:v>
                      </c:pt>
                      <c:pt idx="167">
                        <c:v>2014/12/1</c:v>
                      </c:pt>
                      <c:pt idx="168">
                        <c:v>2015/1/1</c:v>
                      </c:pt>
                      <c:pt idx="169">
                        <c:v>2015/2/1</c:v>
                      </c:pt>
                      <c:pt idx="170">
                        <c:v>2015/3/1</c:v>
                      </c:pt>
                      <c:pt idx="171">
                        <c:v>2015/4/1</c:v>
                      </c:pt>
                      <c:pt idx="172">
                        <c:v>2015/5/1</c:v>
                      </c:pt>
                      <c:pt idx="173">
                        <c:v>2015/6/1</c:v>
                      </c:pt>
                      <c:pt idx="174">
                        <c:v>2015/7/1</c:v>
                      </c:pt>
                      <c:pt idx="175">
                        <c:v>2015/8/1</c:v>
                      </c:pt>
                      <c:pt idx="176">
                        <c:v>2015/9/1</c:v>
                      </c:pt>
                      <c:pt idx="177">
                        <c:v>2015/10/1</c:v>
                      </c:pt>
                      <c:pt idx="178">
                        <c:v>2015/11/1</c:v>
                      </c:pt>
                      <c:pt idx="179">
                        <c:v>2015/12/1</c:v>
                      </c:pt>
                      <c:pt idx="180">
                        <c:v>2016/1/1</c:v>
                      </c:pt>
                      <c:pt idx="181">
                        <c:v>2016/2/1</c:v>
                      </c:pt>
                      <c:pt idx="182">
                        <c:v>2016/3/1</c:v>
                      </c:pt>
                      <c:pt idx="183">
                        <c:v>2016/4/1</c:v>
                      </c:pt>
                      <c:pt idx="184">
                        <c:v>2016/5/1</c:v>
                      </c:pt>
                      <c:pt idx="185">
                        <c:v>2016/6/1</c:v>
                      </c:pt>
                      <c:pt idx="186">
                        <c:v>2016/7/1</c:v>
                      </c:pt>
                      <c:pt idx="187">
                        <c:v>2016/8/1</c:v>
                      </c:pt>
                      <c:pt idx="188">
                        <c:v>2016/9/1</c:v>
                      </c:pt>
                      <c:pt idx="189">
                        <c:v>2016/10/1</c:v>
                      </c:pt>
                      <c:pt idx="190">
                        <c:v>2016/11/1</c:v>
                      </c:pt>
                      <c:pt idx="191">
                        <c:v>2016/12/1</c:v>
                      </c:pt>
                      <c:pt idx="192">
                        <c:v>2017/1/1</c:v>
                      </c:pt>
                      <c:pt idx="193">
                        <c:v>2017/2/1</c:v>
                      </c:pt>
                      <c:pt idx="194">
                        <c:v>2017/3/1</c:v>
                      </c:pt>
                      <c:pt idx="195">
                        <c:v>2017/4/1</c:v>
                      </c:pt>
                      <c:pt idx="196">
                        <c:v>2017/5/1</c:v>
                      </c:pt>
                      <c:pt idx="197">
                        <c:v>2017/6/1</c:v>
                      </c:pt>
                      <c:pt idx="198">
                        <c:v>2017/7/1</c:v>
                      </c:pt>
                      <c:pt idx="199">
                        <c:v>2017/8/1</c:v>
                      </c:pt>
                      <c:pt idx="200">
                        <c:v>2017/9/1</c:v>
                      </c:pt>
                      <c:pt idx="201">
                        <c:v>2017/10/1</c:v>
                      </c:pt>
                      <c:pt idx="202">
                        <c:v>2017/11/1</c:v>
                      </c:pt>
                      <c:pt idx="203">
                        <c:v>2017/12/1</c:v>
                      </c:pt>
                      <c:pt idx="204">
                        <c:v>2018/1/1</c:v>
                      </c:pt>
                      <c:pt idx="205">
                        <c:v>2018/2/1</c:v>
                      </c:pt>
                      <c:pt idx="206">
                        <c:v>2018/3/1</c:v>
                      </c:pt>
                      <c:pt idx="207">
                        <c:v>2018/4/1</c:v>
                      </c:pt>
                      <c:pt idx="208">
                        <c:v>2018/5/1</c:v>
                      </c:pt>
                      <c:pt idx="209">
                        <c:v>2018/6/1</c:v>
                      </c:pt>
                      <c:pt idx="210">
                        <c:v>2018/7/1</c:v>
                      </c:pt>
                      <c:pt idx="211">
                        <c:v>2018/8/1</c:v>
                      </c:pt>
                      <c:pt idx="212">
                        <c:v>2018/9/1</c:v>
                      </c:pt>
                      <c:pt idx="213">
                        <c:v>2018/10/1</c:v>
                      </c:pt>
                      <c:pt idx="214">
                        <c:v>2018/11/1</c:v>
                      </c:pt>
                      <c:pt idx="215">
                        <c:v>2018/12/1</c:v>
                      </c:pt>
                      <c:pt idx="216">
                        <c:v>2019/1/1</c:v>
                      </c:pt>
                      <c:pt idx="217">
                        <c:v>2019/2/1</c:v>
                      </c:pt>
                      <c:pt idx="218">
                        <c:v>2019/3/1</c:v>
                      </c:pt>
                      <c:pt idx="219">
                        <c:v>2019/4/1</c:v>
                      </c:pt>
                      <c:pt idx="220">
                        <c:v>2019/5/1</c:v>
                      </c:pt>
                      <c:pt idx="221">
                        <c:v>2019/6/1</c:v>
                      </c:pt>
                      <c:pt idx="222">
                        <c:v>2019/7/1</c:v>
                      </c:pt>
                      <c:pt idx="223">
                        <c:v>2019/8/1</c:v>
                      </c:pt>
                      <c:pt idx="224">
                        <c:v>2019/9/1</c:v>
                      </c:pt>
                      <c:pt idx="225">
                        <c:v>2019/10/1</c:v>
                      </c:pt>
                      <c:pt idx="226">
                        <c:v>2019/11/1</c:v>
                      </c:pt>
                      <c:pt idx="227">
                        <c:v>2019/12/1</c:v>
                      </c:pt>
                      <c:pt idx="228">
                        <c:v>2020/1/1</c:v>
                      </c:pt>
                      <c:pt idx="229">
                        <c:v>2020/2/1</c:v>
                      </c:pt>
                      <c:pt idx="230">
                        <c:v>2020/3/1</c:v>
                      </c:pt>
                      <c:pt idx="231">
                        <c:v>2020/4/1</c:v>
                      </c:pt>
                      <c:pt idx="232">
                        <c:v>2020/5/1</c:v>
                      </c:pt>
                      <c:pt idx="233">
                        <c:v>2020/6/1</c:v>
                      </c:pt>
                      <c:pt idx="234">
                        <c:v>2020/7/1</c:v>
                      </c:pt>
                      <c:pt idx="235">
                        <c:v>2020/8/1</c:v>
                      </c:pt>
                      <c:pt idx="236">
                        <c:v>2020/9/1</c:v>
                      </c:pt>
                      <c:pt idx="237">
                        <c:v>2020/10/1</c:v>
                      </c:pt>
                      <c:pt idx="238">
                        <c:v>2020/11/1</c:v>
                      </c:pt>
                      <c:pt idx="239">
                        <c:v>2020/12/1</c:v>
                      </c:pt>
                      <c:pt idx="240">
                        <c:v>2021/1/1</c:v>
                      </c:pt>
                      <c:pt idx="241">
                        <c:v>2021/2/1</c:v>
                      </c:pt>
                      <c:pt idx="242">
                        <c:v>2021/3/1</c:v>
                      </c:pt>
                      <c:pt idx="243">
                        <c:v>2021/4/1</c:v>
                      </c:pt>
                      <c:pt idx="244">
                        <c:v>2021/5/1</c:v>
                      </c:pt>
                      <c:pt idx="245">
                        <c:v>2021/6/1</c:v>
                      </c:pt>
                      <c:pt idx="246">
                        <c:v>2021/7/1</c:v>
                      </c:pt>
                      <c:pt idx="247">
                        <c:v>2021/8/1</c:v>
                      </c:pt>
                      <c:pt idx="248">
                        <c:v>2021/9/1</c:v>
                      </c:pt>
                      <c:pt idx="249">
                        <c:v>2021/10/1</c:v>
                      </c:pt>
                      <c:pt idx="250">
                        <c:v>2021/11/1</c:v>
                      </c:pt>
                      <c:pt idx="251">
                        <c:v>2021/12/1</c:v>
                      </c:pt>
                      <c:pt idx="252">
                        <c:v>2022/1/1</c:v>
                      </c:pt>
                      <c:pt idx="253">
                        <c:v>2022/2/1</c:v>
                      </c:pt>
                      <c:pt idx="254">
                        <c:v>2022/3/1</c:v>
                      </c:pt>
                      <c:pt idx="255">
                        <c:v>2022/4/1</c:v>
                      </c:pt>
                      <c:pt idx="256">
                        <c:v>2022/5/1</c:v>
                      </c:pt>
                      <c:pt idx="257">
                        <c:v>2022/6/1</c:v>
                      </c:pt>
                      <c:pt idx="258">
                        <c:v>2022/7/1</c:v>
                      </c:pt>
                      <c:pt idx="259">
                        <c:v>2022/8/1</c:v>
                      </c:pt>
                      <c:pt idx="260">
                        <c:v>2022/9/1</c:v>
                      </c:pt>
                      <c:pt idx="261">
                        <c:v>2022/10/1</c:v>
                      </c:pt>
                      <c:pt idx="262">
                        <c:v>2022/11/1</c:v>
                      </c:pt>
                      <c:pt idx="263">
                        <c:v>2022/12/1</c:v>
                      </c:pt>
                      <c:pt idx="264">
                        <c:v>2023/1/1</c:v>
                      </c:pt>
                      <c:pt idx="265">
                        <c:v>2023/2/1</c:v>
                      </c:pt>
                      <c:pt idx="266">
                        <c:v>2023/3/1</c:v>
                      </c:pt>
                      <c:pt idx="267">
                        <c:v>2023/4/1</c:v>
                      </c:pt>
                      <c:pt idx="268">
                        <c:v>2023/5/1</c:v>
                      </c:pt>
                      <c:pt idx="269">
                        <c:v>2023/6/1</c:v>
                      </c:pt>
                      <c:pt idx="270">
                        <c:v>2023/7/1</c:v>
                      </c:pt>
                      <c:pt idx="271">
                        <c:v>2023/8/1</c:v>
                      </c:pt>
                      <c:pt idx="272">
                        <c:v>2023/9/1</c:v>
                      </c:pt>
                      <c:pt idx="273">
                        <c:v>2023/10/1</c:v>
                      </c:pt>
                      <c:pt idx="274">
                        <c:v>2023/11/1</c:v>
                      </c:pt>
                      <c:pt idx="275">
                        <c:v>2023/12/1</c:v>
                      </c:pt>
                      <c:pt idx="276">
                        <c:v>2024/1/1</c:v>
                      </c:pt>
                      <c:pt idx="277">
                        <c:v>2024/2/1</c:v>
                      </c:pt>
                      <c:pt idx="278">
                        <c:v>2024/3/1</c:v>
                      </c:pt>
                      <c:pt idx="279">
                        <c:v>2024/4/1</c:v>
                      </c:pt>
                      <c:pt idx="280">
                        <c:v>2024/5/1</c:v>
                      </c:pt>
                      <c:pt idx="281">
                        <c:v>2024/6/1</c:v>
                      </c:pt>
                      <c:pt idx="282">
                        <c:v>2024/7/1</c:v>
                      </c:pt>
                      <c:pt idx="283">
                        <c:v>2024/8/1</c:v>
                      </c:pt>
                      <c:pt idx="284">
                        <c:v>2024/9/1</c:v>
                      </c:pt>
                      <c:pt idx="285">
                        <c:v>2024/10/1</c:v>
                      </c:pt>
                      <c:pt idx="286">
                        <c:v>2024/11/1</c:v>
                      </c:pt>
                      <c:pt idx="287">
                        <c:v>2024/12/1</c:v>
                      </c:pt>
                      <c:pt idx="288">
                        <c:v>2025/1/1</c:v>
                      </c:pt>
                      <c:pt idx="289">
                        <c:v>2025/2/1</c:v>
                      </c:pt>
                      <c:pt idx="290">
                        <c:v>2025/3/1</c:v>
                      </c:pt>
                      <c:pt idx="291">
                        <c:v>2025/4/1</c:v>
                      </c:pt>
                      <c:pt idx="292">
                        <c:v>2025/5/1</c:v>
                      </c:pt>
                      <c:pt idx="293">
                        <c:v>2025/6/1</c:v>
                      </c:pt>
                      <c:pt idx="294">
                        <c:v>2025/7/1</c:v>
                      </c:pt>
                      <c:pt idx="295">
                        <c:v>2025/8/1</c:v>
                      </c:pt>
                      <c:pt idx="296">
                        <c:v>2025/9/1</c:v>
                      </c:pt>
                      <c:pt idx="297">
                        <c:v>2025/10/1</c:v>
                      </c:pt>
                      <c:pt idx="298">
                        <c:v>2025/11/1</c:v>
                      </c:pt>
                      <c:pt idx="299">
                        <c:v>2025/12/1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分析!$B$13:$KO$13</c15:sqref>
                        </c15:formulaRef>
                      </c:ext>
                    </c:extLst>
                    <c:numCache>
                      <c:formatCode>General</c:formatCode>
                      <c:ptCount val="300"/>
                      <c:pt idx="0">
                        <c:v>37.052</c:v>
                      </c:pt>
                      <c:pt idx="1">
                        <c:v>37.149</c:v>
                      </c:pt>
                      <c:pt idx="2">
                        <c:v>37.253</c:v>
                      </c:pt>
                      <c:pt idx="3">
                        <c:v>37.382</c:v>
                      </c:pt>
                      <c:pt idx="4">
                        <c:v>37.442</c:v>
                      </c:pt>
                      <c:pt idx="5">
                        <c:v>37.382</c:v>
                      </c:pt>
                      <c:pt idx="6">
                        <c:v>37.174</c:v>
                      </c:pt>
                      <c:pt idx="7">
                        <c:v>36.985</c:v>
                      </c:pt>
                      <c:pt idx="8">
                        <c:v>36.816</c:v>
                      </c:pt>
                      <c:pt idx="9">
                        <c:v>36.842</c:v>
                      </c:pt>
                      <c:pt idx="10">
                        <c:v>36.969</c:v>
                      </c:pt>
                      <c:pt idx="11">
                        <c:v>37.118</c:v>
                      </c:pt>
                      <c:pt idx="12">
                        <c:v>37.245</c:v>
                      </c:pt>
                      <c:pt idx="13">
                        <c:v>37.337</c:v>
                      </c:pt>
                      <c:pt idx="14">
                        <c:v>37.442</c:v>
                      </c:pt>
                      <c:pt idx="15">
                        <c:v>37.539</c:v>
                      </c:pt>
                      <c:pt idx="16">
                        <c:v>37.593</c:v>
                      </c:pt>
                      <c:pt idx="17">
                        <c:v>37.532</c:v>
                      </c:pt>
                      <c:pt idx="18">
                        <c:v>37.328</c:v>
                      </c:pt>
                      <c:pt idx="19">
                        <c:v>37.137</c:v>
                      </c:pt>
                      <c:pt idx="20">
                        <c:v>36.934</c:v>
                      </c:pt>
                      <c:pt idx="21">
                        <c:v>36.983</c:v>
                      </c:pt>
                      <c:pt idx="22">
                        <c:v>37.126</c:v>
                      </c:pt>
                      <c:pt idx="23">
                        <c:v>37.268</c:v>
                      </c:pt>
                      <c:pt idx="24">
                        <c:v>37.406</c:v>
                      </c:pt>
                      <c:pt idx="25">
                        <c:v>37.487</c:v>
                      </c:pt>
                      <c:pt idx="26">
                        <c:v>37.592</c:v>
                      </c:pt>
                      <c:pt idx="27">
                        <c:v>37.71</c:v>
                      </c:pt>
                      <c:pt idx="28">
                        <c:v>37.818</c:v>
                      </c:pt>
                      <c:pt idx="29">
                        <c:v>37.751</c:v>
                      </c:pt>
                      <c:pt idx="30">
                        <c:v>37.543</c:v>
                      </c:pt>
                      <c:pt idx="31">
                        <c:v>37.318</c:v>
                      </c:pt>
                      <c:pt idx="32">
                        <c:v>37.137</c:v>
                      </c:pt>
                      <c:pt idx="33">
                        <c:v>37.179</c:v>
                      </c:pt>
                      <c:pt idx="34">
                        <c:v>37.311</c:v>
                      </c:pt>
                      <c:pt idx="35">
                        <c:v>37.472</c:v>
                      </c:pt>
                      <c:pt idx="36">
                        <c:v>37.654</c:v>
                      </c:pt>
                      <c:pt idx="37">
                        <c:v>37.73</c:v>
                      </c:pt>
                      <c:pt idx="38">
                        <c:v>37.837</c:v>
                      </c:pt>
                      <c:pt idx="39">
                        <c:v>37.98</c:v>
                      </c:pt>
                      <c:pt idx="40">
                        <c:v>38.045</c:v>
                      </c:pt>
                      <c:pt idx="41">
                        <c:v>37.991</c:v>
                      </c:pt>
                      <c:pt idx="42">
                        <c:v>37.744</c:v>
                      </c:pt>
                      <c:pt idx="43">
                        <c:v>37.547</c:v>
                      </c:pt>
                      <c:pt idx="44">
                        <c:v>37.391</c:v>
                      </c:pt>
                      <c:pt idx="45">
                        <c:v>37.407</c:v>
                      </c:pt>
                      <c:pt idx="46">
                        <c:v>37.546</c:v>
                      </c:pt>
                      <c:pt idx="47">
                        <c:v>37.717</c:v>
                      </c:pt>
                      <c:pt idx="48">
                        <c:v>37.847</c:v>
                      </c:pt>
                      <c:pt idx="49">
                        <c:v>37.931</c:v>
                      </c:pt>
                      <c:pt idx="50">
                        <c:v>38.039</c:v>
                      </c:pt>
                      <c:pt idx="51">
                        <c:v>38.171</c:v>
                      </c:pt>
                      <c:pt idx="52">
                        <c:v>38.247</c:v>
                      </c:pt>
                      <c:pt idx="53">
                        <c:v>38.22</c:v>
                      </c:pt>
                      <c:pt idx="54">
                        <c:v>37.962</c:v>
                      </c:pt>
                      <c:pt idx="55">
                        <c:v>37.756</c:v>
                      </c:pt>
                      <c:pt idx="56">
                        <c:v>37.593</c:v>
                      </c:pt>
                      <c:pt idx="57">
                        <c:v>37.615</c:v>
                      </c:pt>
                      <c:pt idx="58">
                        <c:v>37.741</c:v>
                      </c:pt>
                      <c:pt idx="59">
                        <c:v>37.893</c:v>
                      </c:pt>
                      <c:pt idx="60">
                        <c:v>38.019</c:v>
                      </c:pt>
                      <c:pt idx="61">
                        <c:v>38.116</c:v>
                      </c:pt>
                      <c:pt idx="62">
                        <c:v>38.235</c:v>
                      </c:pt>
                      <c:pt idx="63">
                        <c:v>38.361</c:v>
                      </c:pt>
                      <c:pt idx="64">
                        <c:v>38.434</c:v>
                      </c:pt>
                      <c:pt idx="65">
                        <c:v>38.402</c:v>
                      </c:pt>
                      <c:pt idx="66">
                        <c:v>38.21</c:v>
                      </c:pt>
                      <c:pt idx="67">
                        <c:v>38.001</c:v>
                      </c:pt>
                      <c:pt idx="68">
                        <c:v>37.81</c:v>
                      </c:pt>
                      <c:pt idx="69">
                        <c:v>37.841</c:v>
                      </c:pt>
                      <c:pt idx="70">
                        <c:v>37.962</c:v>
                      </c:pt>
                      <c:pt idx="71">
                        <c:v>38.125</c:v>
                      </c:pt>
                      <c:pt idx="72">
                        <c:v>38.245</c:v>
                      </c:pt>
                      <c:pt idx="73">
                        <c:v>38.368</c:v>
                      </c:pt>
                      <c:pt idx="74">
                        <c:v>38.429</c:v>
                      </c:pt>
                      <c:pt idx="75">
                        <c:v>38.591</c:v>
                      </c:pt>
                      <c:pt idx="76">
                        <c:v>38.641</c:v>
                      </c:pt>
                      <c:pt idx="77">
                        <c:v>38.591</c:v>
                      </c:pt>
                      <c:pt idx="78">
                        <c:v>38.413</c:v>
                      </c:pt>
                      <c:pt idx="79">
                        <c:v>38.2</c:v>
                      </c:pt>
                      <c:pt idx="80">
                        <c:v>38.018</c:v>
                      </c:pt>
                      <c:pt idx="81">
                        <c:v>38.054</c:v>
                      </c:pt>
                      <c:pt idx="82">
                        <c:v>38.171</c:v>
                      </c:pt>
                      <c:pt idx="83">
                        <c:v>38.342</c:v>
                      </c:pt>
                      <c:pt idx="84">
                        <c:v>38.388</c:v>
                      </c:pt>
                      <c:pt idx="85">
                        <c:v>38.5</c:v>
                      </c:pt>
                      <c:pt idx="86">
                        <c:v>38.596</c:v>
                      </c:pt>
                      <c:pt idx="87">
                        <c:v>38.727</c:v>
                      </c:pt>
                      <c:pt idx="88">
                        <c:v>38.85</c:v>
                      </c:pt>
                      <c:pt idx="89">
                        <c:v>38.808</c:v>
                      </c:pt>
                      <c:pt idx="90">
                        <c:v>38.642</c:v>
                      </c:pt>
                      <c:pt idx="91">
                        <c:v>38.415</c:v>
                      </c:pt>
                      <c:pt idx="92">
                        <c:v>38.235</c:v>
                      </c:pt>
                      <c:pt idx="93">
                        <c:v>38.281</c:v>
                      </c:pt>
                      <c:pt idx="94">
                        <c:v>38.41</c:v>
                      </c:pt>
                      <c:pt idx="95">
                        <c:v>38.556</c:v>
                      </c:pt>
                      <c:pt idx="96">
                        <c:v>38.591</c:v>
                      </c:pt>
                      <c:pt idx="97">
                        <c:v>38.675</c:v>
                      </c:pt>
                      <c:pt idx="98">
                        <c:v>38.761</c:v>
                      </c:pt>
                      <c:pt idx="99">
                        <c:v>38.926</c:v>
                      </c:pt>
                      <c:pt idx="100">
                        <c:v>39.019</c:v>
                      </c:pt>
                      <c:pt idx="101">
                        <c:v>38.955</c:v>
                      </c:pt>
                      <c:pt idx="102">
                        <c:v>38.76</c:v>
                      </c:pt>
                      <c:pt idx="103">
                        <c:v>38.564</c:v>
                      </c:pt>
                      <c:pt idx="104">
                        <c:v>38.392</c:v>
                      </c:pt>
                      <c:pt idx="105">
                        <c:v>38.434</c:v>
                      </c:pt>
                      <c:pt idx="106">
                        <c:v>38.565</c:v>
                      </c:pt>
                      <c:pt idx="107">
                        <c:v>38.735</c:v>
                      </c:pt>
                      <c:pt idx="108">
                        <c:v>38.845</c:v>
                      </c:pt>
                      <c:pt idx="109">
                        <c:v>38.982</c:v>
                      </c:pt>
                      <c:pt idx="110">
                        <c:v>39.107</c:v>
                      </c:pt>
                      <c:pt idx="111">
                        <c:v>39.246</c:v>
                      </c:pt>
                      <c:pt idx="112">
                        <c:v>39.318</c:v>
                      </c:pt>
                      <c:pt idx="113">
                        <c:v>39.212</c:v>
                      </c:pt>
                      <c:pt idx="114">
                        <c:v>39.017</c:v>
                      </c:pt>
                      <c:pt idx="115">
                        <c:v>38.815</c:v>
                      </c:pt>
                      <c:pt idx="116">
                        <c:v>38.658</c:v>
                      </c:pt>
                      <c:pt idx="117">
                        <c:v>38.718</c:v>
                      </c:pt>
                      <c:pt idx="118">
                        <c:v>38.859</c:v>
                      </c:pt>
                      <c:pt idx="119">
                        <c:v>39.014</c:v>
                      </c:pt>
                      <c:pt idx="120">
                        <c:v>39.103</c:v>
                      </c:pt>
                      <c:pt idx="121">
                        <c:v>39.18</c:v>
                      </c:pt>
                      <c:pt idx="122">
                        <c:v>39.251</c:v>
                      </c:pt>
                      <c:pt idx="123">
                        <c:v>39.431</c:v>
                      </c:pt>
                      <c:pt idx="124">
                        <c:v>39.449</c:v>
                      </c:pt>
                      <c:pt idx="125">
                        <c:v>39.382</c:v>
                      </c:pt>
                      <c:pt idx="126">
                        <c:v>39.236</c:v>
                      </c:pt>
                      <c:pt idx="127">
                        <c:v>39.023</c:v>
                      </c:pt>
                      <c:pt idx="128">
                        <c:v>38.894</c:v>
                      </c:pt>
                      <c:pt idx="129">
                        <c:v>38.926</c:v>
                      </c:pt>
                      <c:pt idx="130">
                        <c:v>39.041</c:v>
                      </c:pt>
                      <c:pt idx="131">
                        <c:v>39.201</c:v>
                      </c:pt>
                      <c:pt idx="132">
                        <c:v>39.312</c:v>
                      </c:pt>
                      <c:pt idx="133">
                        <c:v>39.416</c:v>
                      </c:pt>
                      <c:pt idx="134">
                        <c:v>39.485</c:v>
                      </c:pt>
                      <c:pt idx="135">
                        <c:v>39.618</c:v>
                      </c:pt>
                      <c:pt idx="136">
                        <c:v>39.678</c:v>
                      </c:pt>
                      <c:pt idx="137">
                        <c:v>39.618</c:v>
                      </c:pt>
                      <c:pt idx="138">
                        <c:v>39.439</c:v>
                      </c:pt>
                      <c:pt idx="139">
                        <c:v>39.241</c:v>
                      </c:pt>
                      <c:pt idx="140">
                        <c:v>39.101</c:v>
                      </c:pt>
                      <c:pt idx="141">
                        <c:v>39.138</c:v>
                      </c:pt>
                      <c:pt idx="142">
                        <c:v>39.291</c:v>
                      </c:pt>
                      <c:pt idx="143">
                        <c:v>39.428</c:v>
                      </c:pt>
                      <c:pt idx="144">
                        <c:v>39.511</c:v>
                      </c:pt>
                      <c:pt idx="145">
                        <c:v>39.616</c:v>
                      </c:pt>
                      <c:pt idx="146">
                        <c:v>39.681</c:v>
                      </c:pt>
                      <c:pt idx="147">
                        <c:v>39.834</c:v>
                      </c:pt>
                      <c:pt idx="148">
                        <c:v>39.928</c:v>
                      </c:pt>
                      <c:pt idx="149">
                        <c:v>39.898</c:v>
                      </c:pt>
                      <c:pt idx="150">
                        <c:v>39.705</c:v>
                      </c:pt>
                      <c:pt idx="151">
                        <c:v>39.488</c:v>
                      </c:pt>
                      <c:pt idx="152">
                        <c:v>39.32</c:v>
                      </c:pt>
                      <c:pt idx="153">
                        <c:v>39.342</c:v>
                      </c:pt>
                      <c:pt idx="154">
                        <c:v>39.489</c:v>
                      </c:pt>
                      <c:pt idx="155">
                        <c:v>39.648</c:v>
                      </c:pt>
                      <c:pt idx="156">
                        <c:v>39.766</c:v>
                      </c:pt>
                      <c:pt idx="157">
                        <c:v>39.777</c:v>
                      </c:pt>
                      <c:pt idx="158">
                        <c:v>39.93</c:v>
                      </c:pt>
                      <c:pt idx="159">
                        <c:v>40.118</c:v>
                      </c:pt>
                      <c:pt idx="160">
                        <c:v>40.162</c:v>
                      </c:pt>
                      <c:pt idx="161">
                        <c:v>40.107</c:v>
                      </c:pt>
                      <c:pt idx="162">
                        <c:v>39.89</c:v>
                      </c:pt>
                      <c:pt idx="163">
                        <c:v>39.686</c:v>
                      </c:pt>
                      <c:pt idx="164">
                        <c:v>39.512</c:v>
                      </c:pt>
                      <c:pt idx="165">
                        <c:v>39.573</c:v>
                      </c:pt>
                      <c:pt idx="166">
                        <c:v>39.709</c:v>
                      </c:pt>
                      <c:pt idx="167">
                        <c:v>39.871</c:v>
                      </c:pt>
                      <c:pt idx="168">
                        <c:v>39.985</c:v>
                      </c:pt>
                      <c:pt idx="169">
                        <c:v>40.031</c:v>
                      </c:pt>
                      <c:pt idx="170">
                        <c:v>40.152</c:v>
                      </c:pt>
                      <c:pt idx="171">
                        <c:v>40.308</c:v>
                      </c:pt>
                      <c:pt idx="172">
                        <c:v>40.37</c:v>
                      </c:pt>
                      <c:pt idx="173">
                        <c:v>40.251</c:v>
                      </c:pt>
                      <c:pt idx="174">
                        <c:v>40.107</c:v>
                      </c:pt>
                      <c:pt idx="175">
                        <c:v>39.88</c:v>
                      </c:pt>
                      <c:pt idx="176">
                        <c:v>39.735</c:v>
                      </c:pt>
                      <c:pt idx="177">
                        <c:v>39.794</c:v>
                      </c:pt>
                      <c:pt idx="178">
                        <c:v>39.953</c:v>
                      </c:pt>
                      <c:pt idx="179">
                        <c:v>40.144</c:v>
                      </c:pt>
                      <c:pt idx="180">
                        <c:v>40.252</c:v>
                      </c:pt>
                      <c:pt idx="181">
                        <c:v>40.345</c:v>
                      </c:pt>
                      <c:pt idx="182">
                        <c:v>40.431</c:v>
                      </c:pt>
                      <c:pt idx="183">
                        <c:v>40.633</c:v>
                      </c:pt>
                      <c:pt idx="184">
                        <c:v>40.701</c:v>
                      </c:pt>
                      <c:pt idx="185">
                        <c:v>40.612</c:v>
                      </c:pt>
                      <c:pt idx="186">
                        <c:v>39.439</c:v>
                      </c:pt>
                      <c:pt idx="187">
                        <c:v>40.174</c:v>
                      </c:pt>
                      <c:pt idx="188">
                        <c:v>40.033</c:v>
                      </c:pt>
                      <c:pt idx="189">
                        <c:v>40.078</c:v>
                      </c:pt>
                      <c:pt idx="190">
                        <c:v>40.219</c:v>
                      </c:pt>
                      <c:pt idx="191">
                        <c:v>40.41</c:v>
                      </c:pt>
                      <c:pt idx="192">
                        <c:v>40.537</c:v>
                      </c:pt>
                      <c:pt idx="193">
                        <c:v>40.642</c:v>
                      </c:pt>
                      <c:pt idx="194">
                        <c:v>40.718</c:v>
                      </c:pt>
                      <c:pt idx="195">
                        <c:v>40.845</c:v>
                      </c:pt>
                      <c:pt idx="196">
                        <c:v>40.965</c:v>
                      </c:pt>
                      <c:pt idx="197">
                        <c:v>40.922</c:v>
                      </c:pt>
                      <c:pt idx="198">
                        <c:v>40.725</c:v>
                      </c:pt>
                      <c:pt idx="199">
                        <c:v>40.507</c:v>
                      </c:pt>
                      <c:pt idx="200">
                        <c:v>40.338</c:v>
                      </c:pt>
                      <c:pt idx="201">
                        <c:v>40.363</c:v>
                      </c:pt>
                      <c:pt idx="202">
                        <c:v>40.514</c:v>
                      </c:pt>
                      <c:pt idx="203">
                        <c:v>40.681</c:v>
                      </c:pt>
                      <c:pt idx="204">
                        <c:v>40.798</c:v>
                      </c:pt>
                      <c:pt idx="205">
                        <c:v>40.835</c:v>
                      </c:pt>
                      <c:pt idx="206">
                        <c:v>40.941</c:v>
                      </c:pt>
                      <c:pt idx="207">
                        <c:v>41.031</c:v>
                      </c:pt>
                      <c:pt idx="208">
                        <c:v>41.131</c:v>
                      </c:pt>
                      <c:pt idx="209">
                        <c:v>41.079</c:v>
                      </c:pt>
                      <c:pt idx="210">
                        <c:v>40.871</c:v>
                      </c:pt>
                      <c:pt idx="211">
                        <c:v>40.699</c:v>
                      </c:pt>
                      <c:pt idx="212">
                        <c:v>40.551</c:v>
                      </c:pt>
                      <c:pt idx="213">
                        <c:v>40.6</c:v>
                      </c:pt>
                      <c:pt idx="214">
                        <c:v>40.802</c:v>
                      </c:pt>
                      <c:pt idx="215">
                        <c:v>40.907</c:v>
                      </c:pt>
                      <c:pt idx="216">
                        <c:v>41.083</c:v>
                      </c:pt>
                      <c:pt idx="217">
                        <c:v>41.175</c:v>
                      </c:pt>
                      <c:pt idx="218">
                        <c:v>41.197</c:v>
                      </c:pt>
                      <c:pt idx="219">
                        <c:v>41.332</c:v>
                      </c:pt>
                      <c:pt idx="220">
                        <c:v>41.466</c:v>
                      </c:pt>
                      <c:pt idx="221">
                        <c:v>41.392</c:v>
                      </c:pt>
                      <c:pt idx="222">
                        <c:v>41.177</c:v>
                      </c:pt>
                      <c:pt idx="223">
                        <c:v>40.995</c:v>
                      </c:pt>
                      <c:pt idx="224">
                        <c:v>40.854</c:v>
                      </c:pt>
                      <c:pt idx="225">
                        <c:v>40.853</c:v>
                      </c:pt>
                      <c:pt idx="226">
                        <c:v>41.027</c:v>
                      </c:pt>
                      <c:pt idx="227">
                        <c:v>41.176</c:v>
                      </c:pt>
                      <c:pt idx="228">
                        <c:v>41.34</c:v>
                      </c:pt>
                      <c:pt idx="229">
                        <c:v>41.411</c:v>
                      </c:pt>
                      <c:pt idx="230">
                        <c:v>41.45</c:v>
                      </c:pt>
                      <c:pt idx="231">
                        <c:v>41.621</c:v>
                      </c:pt>
                      <c:pt idx="232">
                        <c:v>41.707</c:v>
                      </c:pt>
                      <c:pt idx="233">
                        <c:v>41.639</c:v>
                      </c:pt>
                      <c:pt idx="234">
                        <c:v>41.438</c:v>
                      </c:pt>
                      <c:pt idx="235">
                        <c:v>41.255</c:v>
                      </c:pt>
                      <c:pt idx="236">
                        <c:v>41.129</c:v>
                      </c:pt>
                      <c:pt idx="237">
                        <c:v>41.128</c:v>
                      </c:pt>
                      <c:pt idx="238">
                        <c:v>41.289</c:v>
                      </c:pt>
                      <c:pt idx="239">
                        <c:v>41.409</c:v>
                      </c:pt>
                      <c:pt idx="240">
                        <c:v>41.552</c:v>
                      </c:pt>
                      <c:pt idx="241">
                        <c:v>41.675</c:v>
                      </c:pt>
                      <c:pt idx="242">
                        <c:v>41.764</c:v>
                      </c:pt>
                      <c:pt idx="243">
                        <c:v>41.902</c:v>
                      </c:pt>
                      <c:pt idx="244">
                        <c:v>41.913</c:v>
                      </c:pt>
                      <c:pt idx="245">
                        <c:v>41.891</c:v>
                      </c:pt>
                      <c:pt idx="246">
                        <c:v>41.635</c:v>
                      </c:pt>
                      <c:pt idx="247">
                        <c:v>41.447</c:v>
                      </c:pt>
                      <c:pt idx="248">
                        <c:v>41.33</c:v>
                      </c:pt>
                      <c:pt idx="249">
                        <c:v>41.393</c:v>
                      </c:pt>
                      <c:pt idx="250">
                        <c:v>41.501</c:v>
                      </c:pt>
                      <c:pt idx="251">
                        <c:v>41.671</c:v>
                      </c:pt>
                      <c:pt idx="252">
                        <c:v>41.799</c:v>
                      </c:pt>
                      <c:pt idx="253">
                        <c:v>41.928</c:v>
                      </c:pt>
                      <c:pt idx="254">
                        <c:v>41.881</c:v>
                      </c:pt>
                      <c:pt idx="255">
                        <c:v>42.021</c:v>
                      </c:pt>
                      <c:pt idx="256">
                        <c:v>42.133</c:v>
                      </c:pt>
                      <c:pt idx="257">
                        <c:v>42.099</c:v>
                      </c:pt>
                      <c:pt idx="258">
                        <c:v>41.89</c:v>
                      </c:pt>
                      <c:pt idx="259">
                        <c:v>41.719</c:v>
                      </c:pt>
                      <c:pt idx="260">
                        <c:v>41.595</c:v>
                      </c:pt>
                      <c:pt idx="261">
                        <c:v>41.578</c:v>
                      </c:pt>
                      <c:pt idx="262">
                        <c:v>41.751</c:v>
                      </c:pt>
                      <c:pt idx="263">
                        <c:v>41.895</c:v>
                      </c:pt>
                      <c:pt idx="264">
                        <c:v>41.947</c:v>
                      </c:pt>
                      <c:pt idx="265">
                        <c:v>42.041</c:v>
                      </c:pt>
                      <c:pt idx="266">
                        <c:v>42.113</c:v>
                      </c:pt>
                      <c:pt idx="267">
                        <c:v>42.273</c:v>
                      </c:pt>
                      <c:pt idx="268">
                        <c:v>42.4</c:v>
                      </c:pt>
                      <c:pt idx="269">
                        <c:v>42.368</c:v>
                      </c:pt>
                      <c:pt idx="270">
                        <c:v>42.183</c:v>
                      </c:pt>
                      <c:pt idx="271">
                        <c:v>41.968</c:v>
                      </c:pt>
                      <c:pt idx="272">
                        <c:v>41.851</c:v>
                      </c:pt>
                      <c:pt idx="273">
                        <c:v>41.882</c:v>
                      </c:pt>
                      <c:pt idx="274">
                        <c:v>42.046</c:v>
                      </c:pt>
                      <c:pt idx="275">
                        <c:v>42.186</c:v>
                      </c:pt>
                      <c:pt idx="276">
                        <c:v>42.243</c:v>
                      </c:pt>
                      <c:pt idx="277">
                        <c:v>42.367</c:v>
                      </c:pt>
                      <c:pt idx="278">
                        <c:v>42.455</c:v>
                      </c:pt>
                      <c:pt idx="279">
                        <c:v>42.631</c:v>
                      </c:pt>
                      <c:pt idx="280">
                        <c:v>42.69</c:v>
                      </c:pt>
                      <c:pt idx="281">
                        <c:v>42.641</c:v>
                      </c:pt>
                      <c:pt idx="282">
                        <c:v>42.434</c:v>
                      </c:pt>
                      <c:pt idx="283">
                        <c:v>42.199</c:v>
                      </c:pt>
                      <c:pt idx="284">
                        <c:v>42.033</c:v>
                      </c:pt>
                      <c:pt idx="285">
                        <c:v>42.081</c:v>
                      </c:pt>
                      <c:pt idx="286">
                        <c:v>42.236</c:v>
                      </c:pt>
                      <c:pt idx="287">
                        <c:v>42.428</c:v>
                      </c:pt>
                      <c:pt idx="288">
                        <c:v>42.521</c:v>
                      </c:pt>
                      <c:pt idx="289">
                        <c:v>42.605</c:v>
                      </c:pt>
                      <c:pt idx="290">
                        <c:v>42.688</c:v>
                      </c:pt>
                      <c:pt idx="291">
                        <c:v>42.814</c:v>
                      </c:pt>
                      <c:pt idx="292">
                        <c:v>42.935</c:v>
                      </c:pt>
                      <c:pt idx="293">
                        <c:v>42.877</c:v>
                      </c:pt>
                      <c:pt idx="294">
                        <c:v>42.692</c:v>
                      </c:pt>
                      <c:pt idx="295">
                        <c:v>42.481</c:v>
                      </c:pt>
                      <c:pt idx="296">
                        <c:v>42.315</c:v>
                      </c:pt>
                      <c:pt idx="297">
                        <c:v>42.359</c:v>
                      </c:pt>
                      <c:pt idx="298">
                        <c:v>42.502</c:v>
                      </c:pt>
                      <c:pt idx="299">
                        <c:v>42.674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分析!$A$11</c15:sqref>
                        </c15:formulaRef>
                      </c:ext>
                    </c:extLst>
                    <c:strCache>
                      <c:ptCount val="1"/>
                      <c:pt idx="0">
                        <c:v>水和二氧化碳总浓度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微软雅黑" panose="020B0503020204020204" charset="-122"/>
                          <a:ea typeface="微软雅黑" panose="020B0503020204020204" charset="-122"/>
                          <a:cs typeface="微软雅黑" panose="020B0503020204020204" charset="-122"/>
                          <a:sym typeface="微软雅黑" panose="020B0503020204020204" charset="-122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分析!$B$1:$KO$1</c15:sqref>
                        </c15:formulaRef>
                      </c:ext>
                    </c:extLst>
                    <c:strCache>
                      <c:ptCount val="300"/>
                      <c:pt idx="0">
                        <c:v>2001/1/1</c:v>
                      </c:pt>
                      <c:pt idx="1">
                        <c:v>2001/2/1</c:v>
                      </c:pt>
                      <c:pt idx="2">
                        <c:v>2001/3/1</c:v>
                      </c:pt>
                      <c:pt idx="3">
                        <c:v>2001/4/1</c:v>
                      </c:pt>
                      <c:pt idx="4">
                        <c:v>2001/5/1</c:v>
                      </c:pt>
                      <c:pt idx="5">
                        <c:v>2001/6/1</c:v>
                      </c:pt>
                      <c:pt idx="6">
                        <c:v>2001/7/1</c:v>
                      </c:pt>
                      <c:pt idx="7">
                        <c:v>2001/8/1</c:v>
                      </c:pt>
                      <c:pt idx="8">
                        <c:v>2001/9/1</c:v>
                      </c:pt>
                      <c:pt idx="9">
                        <c:v>2001/10/1</c:v>
                      </c:pt>
                      <c:pt idx="10">
                        <c:v>2001/11/1</c:v>
                      </c:pt>
                      <c:pt idx="11">
                        <c:v>2001/12/1</c:v>
                      </c:pt>
                      <c:pt idx="12">
                        <c:v>2002/1/1</c:v>
                      </c:pt>
                      <c:pt idx="13">
                        <c:v>2002/2/1</c:v>
                      </c:pt>
                      <c:pt idx="14">
                        <c:v>2002/3/1</c:v>
                      </c:pt>
                      <c:pt idx="15">
                        <c:v>2002/4/1</c:v>
                      </c:pt>
                      <c:pt idx="16">
                        <c:v>2002/5/1</c:v>
                      </c:pt>
                      <c:pt idx="17">
                        <c:v>2002/6/1</c:v>
                      </c:pt>
                      <c:pt idx="18">
                        <c:v>2002/7/1</c:v>
                      </c:pt>
                      <c:pt idx="19">
                        <c:v>2002/8/1</c:v>
                      </c:pt>
                      <c:pt idx="20">
                        <c:v>2002/9/1</c:v>
                      </c:pt>
                      <c:pt idx="21">
                        <c:v>2002/10/1</c:v>
                      </c:pt>
                      <c:pt idx="22">
                        <c:v>2002/11/1</c:v>
                      </c:pt>
                      <c:pt idx="23">
                        <c:v>2002/12/1</c:v>
                      </c:pt>
                      <c:pt idx="24">
                        <c:v>2003/1/1</c:v>
                      </c:pt>
                      <c:pt idx="25">
                        <c:v>2003/2/1</c:v>
                      </c:pt>
                      <c:pt idx="26">
                        <c:v>2003/3/1</c:v>
                      </c:pt>
                      <c:pt idx="27">
                        <c:v>2003/4/1</c:v>
                      </c:pt>
                      <c:pt idx="28">
                        <c:v>2003/5/1</c:v>
                      </c:pt>
                      <c:pt idx="29">
                        <c:v>2003/6/1</c:v>
                      </c:pt>
                      <c:pt idx="30">
                        <c:v>2003/7/1</c:v>
                      </c:pt>
                      <c:pt idx="31">
                        <c:v>2003/8/1</c:v>
                      </c:pt>
                      <c:pt idx="32">
                        <c:v>2003/9/1</c:v>
                      </c:pt>
                      <c:pt idx="33">
                        <c:v>2003/10/1</c:v>
                      </c:pt>
                      <c:pt idx="34">
                        <c:v>2003/11/1</c:v>
                      </c:pt>
                      <c:pt idx="35">
                        <c:v>2003/12/1</c:v>
                      </c:pt>
                      <c:pt idx="36">
                        <c:v>2004/1/1</c:v>
                      </c:pt>
                      <c:pt idx="37">
                        <c:v>2004/2/1</c:v>
                      </c:pt>
                      <c:pt idx="38">
                        <c:v>2004/3/1</c:v>
                      </c:pt>
                      <c:pt idx="39">
                        <c:v>2004/4/1</c:v>
                      </c:pt>
                      <c:pt idx="40">
                        <c:v>2004/5/1</c:v>
                      </c:pt>
                      <c:pt idx="41">
                        <c:v>2004/6/1</c:v>
                      </c:pt>
                      <c:pt idx="42">
                        <c:v>2004/7/1</c:v>
                      </c:pt>
                      <c:pt idx="43">
                        <c:v>2004/8/1</c:v>
                      </c:pt>
                      <c:pt idx="44">
                        <c:v>2004/9/1</c:v>
                      </c:pt>
                      <c:pt idx="45">
                        <c:v>2004/10/1</c:v>
                      </c:pt>
                      <c:pt idx="46">
                        <c:v>2004/11/1</c:v>
                      </c:pt>
                      <c:pt idx="47">
                        <c:v>2004/12/1</c:v>
                      </c:pt>
                      <c:pt idx="48">
                        <c:v>2005/1/1</c:v>
                      </c:pt>
                      <c:pt idx="49">
                        <c:v>2005/2/1</c:v>
                      </c:pt>
                      <c:pt idx="50">
                        <c:v>2005/3/1</c:v>
                      </c:pt>
                      <c:pt idx="51">
                        <c:v>2005/4/1</c:v>
                      </c:pt>
                      <c:pt idx="52">
                        <c:v>2005/5/1</c:v>
                      </c:pt>
                      <c:pt idx="53">
                        <c:v>2005/6/1</c:v>
                      </c:pt>
                      <c:pt idx="54">
                        <c:v>2005/7/1</c:v>
                      </c:pt>
                      <c:pt idx="55">
                        <c:v>2005/8/1</c:v>
                      </c:pt>
                      <c:pt idx="56">
                        <c:v>2005/9/1</c:v>
                      </c:pt>
                      <c:pt idx="57">
                        <c:v>2005/10/1</c:v>
                      </c:pt>
                      <c:pt idx="58">
                        <c:v>2005/11/1</c:v>
                      </c:pt>
                      <c:pt idx="59">
                        <c:v>2005/12/1</c:v>
                      </c:pt>
                      <c:pt idx="60">
                        <c:v>2006/1/1</c:v>
                      </c:pt>
                      <c:pt idx="61">
                        <c:v>2006/2/1</c:v>
                      </c:pt>
                      <c:pt idx="62">
                        <c:v>2006/3/1</c:v>
                      </c:pt>
                      <c:pt idx="63">
                        <c:v>2006/4/1</c:v>
                      </c:pt>
                      <c:pt idx="64">
                        <c:v>2006/5/1</c:v>
                      </c:pt>
                      <c:pt idx="65">
                        <c:v>2006/6/1</c:v>
                      </c:pt>
                      <c:pt idx="66">
                        <c:v>2006/7/1</c:v>
                      </c:pt>
                      <c:pt idx="67">
                        <c:v>2006/8/1</c:v>
                      </c:pt>
                      <c:pt idx="68">
                        <c:v>2006/9/1</c:v>
                      </c:pt>
                      <c:pt idx="69">
                        <c:v>2006/10/1</c:v>
                      </c:pt>
                      <c:pt idx="70">
                        <c:v>2006/11/1</c:v>
                      </c:pt>
                      <c:pt idx="71">
                        <c:v>2006/12/1</c:v>
                      </c:pt>
                      <c:pt idx="72">
                        <c:v>2007/1/1</c:v>
                      </c:pt>
                      <c:pt idx="73">
                        <c:v>2007/2/1</c:v>
                      </c:pt>
                      <c:pt idx="74">
                        <c:v>2007/3/1</c:v>
                      </c:pt>
                      <c:pt idx="75">
                        <c:v>2007/4/1</c:v>
                      </c:pt>
                      <c:pt idx="76">
                        <c:v>2007/5/1</c:v>
                      </c:pt>
                      <c:pt idx="77">
                        <c:v>2007/6/1</c:v>
                      </c:pt>
                      <c:pt idx="78">
                        <c:v>2007/7/1</c:v>
                      </c:pt>
                      <c:pt idx="79">
                        <c:v>2007/8/1</c:v>
                      </c:pt>
                      <c:pt idx="80">
                        <c:v>2007/9/1</c:v>
                      </c:pt>
                      <c:pt idx="81">
                        <c:v>2007/10/1</c:v>
                      </c:pt>
                      <c:pt idx="82">
                        <c:v>2007/11/1</c:v>
                      </c:pt>
                      <c:pt idx="83">
                        <c:v>2007/12/1</c:v>
                      </c:pt>
                      <c:pt idx="84">
                        <c:v>2008/1/1</c:v>
                      </c:pt>
                      <c:pt idx="85">
                        <c:v>2008/2/1</c:v>
                      </c:pt>
                      <c:pt idx="86">
                        <c:v>2008/3/1</c:v>
                      </c:pt>
                      <c:pt idx="87">
                        <c:v>2008/4/1</c:v>
                      </c:pt>
                      <c:pt idx="88">
                        <c:v>2008/5/1</c:v>
                      </c:pt>
                      <c:pt idx="89">
                        <c:v>2008/6/1</c:v>
                      </c:pt>
                      <c:pt idx="90">
                        <c:v>2008/7/1</c:v>
                      </c:pt>
                      <c:pt idx="91">
                        <c:v>2008/8/1</c:v>
                      </c:pt>
                      <c:pt idx="92">
                        <c:v>2008/9/1</c:v>
                      </c:pt>
                      <c:pt idx="93">
                        <c:v>2008/10/1</c:v>
                      </c:pt>
                      <c:pt idx="94">
                        <c:v>2008/11/1</c:v>
                      </c:pt>
                      <c:pt idx="95">
                        <c:v>2008/12/1</c:v>
                      </c:pt>
                      <c:pt idx="96">
                        <c:v>2009/1/1</c:v>
                      </c:pt>
                      <c:pt idx="97">
                        <c:v>2009/2/1</c:v>
                      </c:pt>
                      <c:pt idx="98">
                        <c:v>2009/3/1</c:v>
                      </c:pt>
                      <c:pt idx="99">
                        <c:v>2009/4/1</c:v>
                      </c:pt>
                      <c:pt idx="100">
                        <c:v>2009/5/1</c:v>
                      </c:pt>
                      <c:pt idx="101">
                        <c:v>2009/6/1</c:v>
                      </c:pt>
                      <c:pt idx="102">
                        <c:v>2009/7/1</c:v>
                      </c:pt>
                      <c:pt idx="103">
                        <c:v>2009/8/1</c:v>
                      </c:pt>
                      <c:pt idx="104">
                        <c:v>2009/9/1</c:v>
                      </c:pt>
                      <c:pt idx="105">
                        <c:v>2009/10/1</c:v>
                      </c:pt>
                      <c:pt idx="106">
                        <c:v>2009/11/1</c:v>
                      </c:pt>
                      <c:pt idx="107">
                        <c:v>2009/12/1</c:v>
                      </c:pt>
                      <c:pt idx="108">
                        <c:v>2010/1/1</c:v>
                      </c:pt>
                      <c:pt idx="109">
                        <c:v>2010/2/1</c:v>
                      </c:pt>
                      <c:pt idx="110">
                        <c:v>2010/3/1</c:v>
                      </c:pt>
                      <c:pt idx="111">
                        <c:v>2010/4/1</c:v>
                      </c:pt>
                      <c:pt idx="112">
                        <c:v>2010/5/1</c:v>
                      </c:pt>
                      <c:pt idx="113">
                        <c:v>2010/6/1</c:v>
                      </c:pt>
                      <c:pt idx="114">
                        <c:v>2010/7/1</c:v>
                      </c:pt>
                      <c:pt idx="115">
                        <c:v>2010/8/1</c:v>
                      </c:pt>
                      <c:pt idx="116">
                        <c:v>2010/9/1</c:v>
                      </c:pt>
                      <c:pt idx="117">
                        <c:v>2010/10/1</c:v>
                      </c:pt>
                      <c:pt idx="118">
                        <c:v>2010/11/1</c:v>
                      </c:pt>
                      <c:pt idx="119">
                        <c:v>2010/12/1</c:v>
                      </c:pt>
                      <c:pt idx="120">
                        <c:v>2011/1/1</c:v>
                      </c:pt>
                      <c:pt idx="121">
                        <c:v>2011/2/1</c:v>
                      </c:pt>
                      <c:pt idx="122">
                        <c:v>2011/3/1</c:v>
                      </c:pt>
                      <c:pt idx="123">
                        <c:v>2011/4/1</c:v>
                      </c:pt>
                      <c:pt idx="124">
                        <c:v>2011/5/1</c:v>
                      </c:pt>
                      <c:pt idx="125">
                        <c:v>2011/6/1</c:v>
                      </c:pt>
                      <c:pt idx="126">
                        <c:v>2011/7/1</c:v>
                      </c:pt>
                      <c:pt idx="127">
                        <c:v>2011/8/1</c:v>
                      </c:pt>
                      <c:pt idx="128">
                        <c:v>2011/9/1</c:v>
                      </c:pt>
                      <c:pt idx="129">
                        <c:v>2011/10/1</c:v>
                      </c:pt>
                      <c:pt idx="130">
                        <c:v>2011/11/1</c:v>
                      </c:pt>
                      <c:pt idx="131">
                        <c:v>2011/12/1</c:v>
                      </c:pt>
                      <c:pt idx="132">
                        <c:v>2012/1/1</c:v>
                      </c:pt>
                      <c:pt idx="133">
                        <c:v>2012/2/1</c:v>
                      </c:pt>
                      <c:pt idx="134">
                        <c:v>2012/3/1</c:v>
                      </c:pt>
                      <c:pt idx="135">
                        <c:v>2012/4/1</c:v>
                      </c:pt>
                      <c:pt idx="136">
                        <c:v>2012/5/1</c:v>
                      </c:pt>
                      <c:pt idx="137">
                        <c:v>2012/6/1</c:v>
                      </c:pt>
                      <c:pt idx="138">
                        <c:v>2012/7/1</c:v>
                      </c:pt>
                      <c:pt idx="139">
                        <c:v>2012/8/1</c:v>
                      </c:pt>
                      <c:pt idx="140">
                        <c:v>2012/9/1</c:v>
                      </c:pt>
                      <c:pt idx="141">
                        <c:v>2012/10/1</c:v>
                      </c:pt>
                      <c:pt idx="142">
                        <c:v>2012/11/1</c:v>
                      </c:pt>
                      <c:pt idx="143">
                        <c:v>2012/12/1</c:v>
                      </c:pt>
                      <c:pt idx="144">
                        <c:v>2013/1/1</c:v>
                      </c:pt>
                      <c:pt idx="145">
                        <c:v>2013/2/1</c:v>
                      </c:pt>
                      <c:pt idx="146">
                        <c:v>2013/3/1</c:v>
                      </c:pt>
                      <c:pt idx="147">
                        <c:v>2013/4/1</c:v>
                      </c:pt>
                      <c:pt idx="148">
                        <c:v>2013/5/1</c:v>
                      </c:pt>
                      <c:pt idx="149">
                        <c:v>2013/6/1</c:v>
                      </c:pt>
                      <c:pt idx="150">
                        <c:v>2013/7/1</c:v>
                      </c:pt>
                      <c:pt idx="151">
                        <c:v>2013/8/1</c:v>
                      </c:pt>
                      <c:pt idx="152">
                        <c:v>2013/9/1</c:v>
                      </c:pt>
                      <c:pt idx="153">
                        <c:v>2013/10/1</c:v>
                      </c:pt>
                      <c:pt idx="154">
                        <c:v>2013/11/1</c:v>
                      </c:pt>
                      <c:pt idx="155">
                        <c:v>2013/12/1</c:v>
                      </c:pt>
                      <c:pt idx="156">
                        <c:v>2014/1/1</c:v>
                      </c:pt>
                      <c:pt idx="157">
                        <c:v>2014/2/1</c:v>
                      </c:pt>
                      <c:pt idx="158">
                        <c:v>2014/3/1</c:v>
                      </c:pt>
                      <c:pt idx="159">
                        <c:v>2014/4/1</c:v>
                      </c:pt>
                      <c:pt idx="160">
                        <c:v>2014/5/1</c:v>
                      </c:pt>
                      <c:pt idx="161">
                        <c:v>2014/6/1</c:v>
                      </c:pt>
                      <c:pt idx="162">
                        <c:v>2014/7/1</c:v>
                      </c:pt>
                      <c:pt idx="163">
                        <c:v>2014/8/1</c:v>
                      </c:pt>
                      <c:pt idx="164">
                        <c:v>2014/9/1</c:v>
                      </c:pt>
                      <c:pt idx="165">
                        <c:v>2014/10/1</c:v>
                      </c:pt>
                      <c:pt idx="166">
                        <c:v>2014/11/1</c:v>
                      </c:pt>
                      <c:pt idx="167">
                        <c:v>2014/12/1</c:v>
                      </c:pt>
                      <c:pt idx="168">
                        <c:v>2015/1/1</c:v>
                      </c:pt>
                      <c:pt idx="169">
                        <c:v>2015/2/1</c:v>
                      </c:pt>
                      <c:pt idx="170">
                        <c:v>2015/3/1</c:v>
                      </c:pt>
                      <c:pt idx="171">
                        <c:v>2015/4/1</c:v>
                      </c:pt>
                      <c:pt idx="172">
                        <c:v>2015/5/1</c:v>
                      </c:pt>
                      <c:pt idx="173">
                        <c:v>2015/6/1</c:v>
                      </c:pt>
                      <c:pt idx="174">
                        <c:v>2015/7/1</c:v>
                      </c:pt>
                      <c:pt idx="175">
                        <c:v>2015/8/1</c:v>
                      </c:pt>
                      <c:pt idx="176">
                        <c:v>2015/9/1</c:v>
                      </c:pt>
                      <c:pt idx="177">
                        <c:v>2015/10/1</c:v>
                      </c:pt>
                      <c:pt idx="178">
                        <c:v>2015/11/1</c:v>
                      </c:pt>
                      <c:pt idx="179">
                        <c:v>2015/12/1</c:v>
                      </c:pt>
                      <c:pt idx="180">
                        <c:v>2016/1/1</c:v>
                      </c:pt>
                      <c:pt idx="181">
                        <c:v>2016/2/1</c:v>
                      </c:pt>
                      <c:pt idx="182">
                        <c:v>2016/3/1</c:v>
                      </c:pt>
                      <c:pt idx="183">
                        <c:v>2016/4/1</c:v>
                      </c:pt>
                      <c:pt idx="184">
                        <c:v>2016/5/1</c:v>
                      </c:pt>
                      <c:pt idx="185">
                        <c:v>2016/6/1</c:v>
                      </c:pt>
                      <c:pt idx="186">
                        <c:v>2016/7/1</c:v>
                      </c:pt>
                      <c:pt idx="187">
                        <c:v>2016/8/1</c:v>
                      </c:pt>
                      <c:pt idx="188">
                        <c:v>2016/9/1</c:v>
                      </c:pt>
                      <c:pt idx="189">
                        <c:v>2016/10/1</c:v>
                      </c:pt>
                      <c:pt idx="190">
                        <c:v>2016/11/1</c:v>
                      </c:pt>
                      <c:pt idx="191">
                        <c:v>2016/12/1</c:v>
                      </c:pt>
                      <c:pt idx="192">
                        <c:v>2017/1/1</c:v>
                      </c:pt>
                      <c:pt idx="193">
                        <c:v>2017/2/1</c:v>
                      </c:pt>
                      <c:pt idx="194">
                        <c:v>2017/3/1</c:v>
                      </c:pt>
                      <c:pt idx="195">
                        <c:v>2017/4/1</c:v>
                      </c:pt>
                      <c:pt idx="196">
                        <c:v>2017/5/1</c:v>
                      </c:pt>
                      <c:pt idx="197">
                        <c:v>2017/6/1</c:v>
                      </c:pt>
                      <c:pt idx="198">
                        <c:v>2017/7/1</c:v>
                      </c:pt>
                      <c:pt idx="199">
                        <c:v>2017/8/1</c:v>
                      </c:pt>
                      <c:pt idx="200">
                        <c:v>2017/9/1</c:v>
                      </c:pt>
                      <c:pt idx="201">
                        <c:v>2017/10/1</c:v>
                      </c:pt>
                      <c:pt idx="202">
                        <c:v>2017/11/1</c:v>
                      </c:pt>
                      <c:pt idx="203">
                        <c:v>2017/12/1</c:v>
                      </c:pt>
                      <c:pt idx="204">
                        <c:v>2018/1/1</c:v>
                      </c:pt>
                      <c:pt idx="205">
                        <c:v>2018/2/1</c:v>
                      </c:pt>
                      <c:pt idx="206">
                        <c:v>2018/3/1</c:v>
                      </c:pt>
                      <c:pt idx="207">
                        <c:v>2018/4/1</c:v>
                      </c:pt>
                      <c:pt idx="208">
                        <c:v>2018/5/1</c:v>
                      </c:pt>
                      <c:pt idx="209">
                        <c:v>2018/6/1</c:v>
                      </c:pt>
                      <c:pt idx="210">
                        <c:v>2018/7/1</c:v>
                      </c:pt>
                      <c:pt idx="211">
                        <c:v>2018/8/1</c:v>
                      </c:pt>
                      <c:pt idx="212">
                        <c:v>2018/9/1</c:v>
                      </c:pt>
                      <c:pt idx="213">
                        <c:v>2018/10/1</c:v>
                      </c:pt>
                      <c:pt idx="214">
                        <c:v>2018/11/1</c:v>
                      </c:pt>
                      <c:pt idx="215">
                        <c:v>2018/12/1</c:v>
                      </c:pt>
                      <c:pt idx="216">
                        <c:v>2019/1/1</c:v>
                      </c:pt>
                      <c:pt idx="217">
                        <c:v>2019/2/1</c:v>
                      </c:pt>
                      <c:pt idx="218">
                        <c:v>2019/3/1</c:v>
                      </c:pt>
                      <c:pt idx="219">
                        <c:v>2019/4/1</c:v>
                      </c:pt>
                      <c:pt idx="220">
                        <c:v>2019/5/1</c:v>
                      </c:pt>
                      <c:pt idx="221">
                        <c:v>2019/6/1</c:v>
                      </c:pt>
                      <c:pt idx="222">
                        <c:v>2019/7/1</c:v>
                      </c:pt>
                      <c:pt idx="223">
                        <c:v>2019/8/1</c:v>
                      </c:pt>
                      <c:pt idx="224">
                        <c:v>2019/9/1</c:v>
                      </c:pt>
                      <c:pt idx="225">
                        <c:v>2019/10/1</c:v>
                      </c:pt>
                      <c:pt idx="226">
                        <c:v>2019/11/1</c:v>
                      </c:pt>
                      <c:pt idx="227">
                        <c:v>2019/12/1</c:v>
                      </c:pt>
                      <c:pt idx="228">
                        <c:v>2020/1/1</c:v>
                      </c:pt>
                      <c:pt idx="229">
                        <c:v>2020/2/1</c:v>
                      </c:pt>
                      <c:pt idx="230">
                        <c:v>2020/3/1</c:v>
                      </c:pt>
                      <c:pt idx="231">
                        <c:v>2020/4/1</c:v>
                      </c:pt>
                      <c:pt idx="232">
                        <c:v>2020/5/1</c:v>
                      </c:pt>
                      <c:pt idx="233">
                        <c:v>2020/6/1</c:v>
                      </c:pt>
                      <c:pt idx="234">
                        <c:v>2020/7/1</c:v>
                      </c:pt>
                      <c:pt idx="235">
                        <c:v>2020/8/1</c:v>
                      </c:pt>
                      <c:pt idx="236">
                        <c:v>2020/9/1</c:v>
                      </c:pt>
                      <c:pt idx="237">
                        <c:v>2020/10/1</c:v>
                      </c:pt>
                      <c:pt idx="238">
                        <c:v>2020/11/1</c:v>
                      </c:pt>
                      <c:pt idx="239">
                        <c:v>2020/12/1</c:v>
                      </c:pt>
                      <c:pt idx="240">
                        <c:v>2021/1/1</c:v>
                      </c:pt>
                      <c:pt idx="241">
                        <c:v>2021/2/1</c:v>
                      </c:pt>
                      <c:pt idx="242">
                        <c:v>2021/3/1</c:v>
                      </c:pt>
                      <c:pt idx="243">
                        <c:v>2021/4/1</c:v>
                      </c:pt>
                      <c:pt idx="244">
                        <c:v>2021/5/1</c:v>
                      </c:pt>
                      <c:pt idx="245">
                        <c:v>2021/6/1</c:v>
                      </c:pt>
                      <c:pt idx="246">
                        <c:v>2021/7/1</c:v>
                      </c:pt>
                      <c:pt idx="247">
                        <c:v>2021/8/1</c:v>
                      </c:pt>
                      <c:pt idx="248">
                        <c:v>2021/9/1</c:v>
                      </c:pt>
                      <c:pt idx="249">
                        <c:v>2021/10/1</c:v>
                      </c:pt>
                      <c:pt idx="250">
                        <c:v>2021/11/1</c:v>
                      </c:pt>
                      <c:pt idx="251">
                        <c:v>2021/12/1</c:v>
                      </c:pt>
                      <c:pt idx="252">
                        <c:v>2022/1/1</c:v>
                      </c:pt>
                      <c:pt idx="253">
                        <c:v>2022/2/1</c:v>
                      </c:pt>
                      <c:pt idx="254">
                        <c:v>2022/3/1</c:v>
                      </c:pt>
                      <c:pt idx="255">
                        <c:v>2022/4/1</c:v>
                      </c:pt>
                      <c:pt idx="256">
                        <c:v>2022/5/1</c:v>
                      </c:pt>
                      <c:pt idx="257">
                        <c:v>2022/6/1</c:v>
                      </c:pt>
                      <c:pt idx="258">
                        <c:v>2022/7/1</c:v>
                      </c:pt>
                      <c:pt idx="259">
                        <c:v>2022/8/1</c:v>
                      </c:pt>
                      <c:pt idx="260">
                        <c:v>2022/9/1</c:v>
                      </c:pt>
                      <c:pt idx="261">
                        <c:v>2022/10/1</c:v>
                      </c:pt>
                      <c:pt idx="262">
                        <c:v>2022/11/1</c:v>
                      </c:pt>
                      <c:pt idx="263">
                        <c:v>2022/12/1</c:v>
                      </c:pt>
                      <c:pt idx="264">
                        <c:v>2023/1/1</c:v>
                      </c:pt>
                      <c:pt idx="265">
                        <c:v>2023/2/1</c:v>
                      </c:pt>
                      <c:pt idx="266">
                        <c:v>2023/3/1</c:v>
                      </c:pt>
                      <c:pt idx="267">
                        <c:v>2023/4/1</c:v>
                      </c:pt>
                      <c:pt idx="268">
                        <c:v>2023/5/1</c:v>
                      </c:pt>
                      <c:pt idx="269">
                        <c:v>2023/6/1</c:v>
                      </c:pt>
                      <c:pt idx="270">
                        <c:v>2023/7/1</c:v>
                      </c:pt>
                      <c:pt idx="271">
                        <c:v>2023/8/1</c:v>
                      </c:pt>
                      <c:pt idx="272">
                        <c:v>2023/9/1</c:v>
                      </c:pt>
                      <c:pt idx="273">
                        <c:v>2023/10/1</c:v>
                      </c:pt>
                      <c:pt idx="274">
                        <c:v>2023/11/1</c:v>
                      </c:pt>
                      <c:pt idx="275">
                        <c:v>2023/12/1</c:v>
                      </c:pt>
                      <c:pt idx="276">
                        <c:v>2024/1/1</c:v>
                      </c:pt>
                      <c:pt idx="277">
                        <c:v>2024/2/1</c:v>
                      </c:pt>
                      <c:pt idx="278">
                        <c:v>2024/3/1</c:v>
                      </c:pt>
                      <c:pt idx="279">
                        <c:v>2024/4/1</c:v>
                      </c:pt>
                      <c:pt idx="280">
                        <c:v>2024/5/1</c:v>
                      </c:pt>
                      <c:pt idx="281">
                        <c:v>2024/6/1</c:v>
                      </c:pt>
                      <c:pt idx="282">
                        <c:v>2024/7/1</c:v>
                      </c:pt>
                      <c:pt idx="283">
                        <c:v>2024/8/1</c:v>
                      </c:pt>
                      <c:pt idx="284">
                        <c:v>2024/9/1</c:v>
                      </c:pt>
                      <c:pt idx="285">
                        <c:v>2024/10/1</c:v>
                      </c:pt>
                      <c:pt idx="286">
                        <c:v>2024/11/1</c:v>
                      </c:pt>
                      <c:pt idx="287">
                        <c:v>2024/12/1</c:v>
                      </c:pt>
                      <c:pt idx="288">
                        <c:v>2025/1/1</c:v>
                      </c:pt>
                      <c:pt idx="289">
                        <c:v>2025/2/1</c:v>
                      </c:pt>
                      <c:pt idx="290">
                        <c:v>2025/3/1</c:v>
                      </c:pt>
                      <c:pt idx="291">
                        <c:v>2025/4/1</c:v>
                      </c:pt>
                      <c:pt idx="292">
                        <c:v>2025/5/1</c:v>
                      </c:pt>
                      <c:pt idx="293">
                        <c:v>2025/6/1</c:v>
                      </c:pt>
                      <c:pt idx="294">
                        <c:v>2025/7/1</c:v>
                      </c:pt>
                      <c:pt idx="295">
                        <c:v>2025/8/1</c:v>
                      </c:pt>
                      <c:pt idx="296">
                        <c:v>2025/9/1</c:v>
                      </c:pt>
                      <c:pt idx="297">
                        <c:v>2025/10/1</c:v>
                      </c:pt>
                      <c:pt idx="298">
                        <c:v>2025/11/1</c:v>
                      </c:pt>
                      <c:pt idx="299">
                        <c:v>2025/12/1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分析!$B$11:$KO$11</c15:sqref>
                        </c15:formulaRef>
                      </c:ext>
                    </c:extLst>
                    <c:numCache>
                      <c:formatCode>General</c:formatCode>
                      <c:ptCount val="300"/>
                      <c:pt idx="0">
                        <c:v>135.552</c:v>
                      </c:pt>
                      <c:pt idx="1">
                        <c:v>136.349</c:v>
                      </c:pt>
                      <c:pt idx="2">
                        <c:v>137.753</c:v>
                      </c:pt>
                      <c:pt idx="3">
                        <c:v>139.182</c:v>
                      </c:pt>
                      <c:pt idx="4">
                        <c:v>140.942</c:v>
                      </c:pt>
                      <c:pt idx="5">
                        <c:v>142.582</c:v>
                      </c:pt>
                      <c:pt idx="6">
                        <c:v>143.974</c:v>
                      </c:pt>
                      <c:pt idx="7">
                        <c:v>144.185</c:v>
                      </c:pt>
                      <c:pt idx="8">
                        <c:v>141.316</c:v>
                      </c:pt>
                      <c:pt idx="9">
                        <c:v>138.042</c:v>
                      </c:pt>
                      <c:pt idx="10">
                        <c:v>136.769</c:v>
                      </c:pt>
                      <c:pt idx="11">
                        <c:v>135.918</c:v>
                      </c:pt>
                      <c:pt idx="12">
                        <c:v>135.945</c:v>
                      </c:pt>
                      <c:pt idx="13">
                        <c:v>136.737</c:v>
                      </c:pt>
                      <c:pt idx="14">
                        <c:v>138.242</c:v>
                      </c:pt>
                      <c:pt idx="15">
                        <c:v>139.639</c:v>
                      </c:pt>
                      <c:pt idx="16">
                        <c:v>141.393</c:v>
                      </c:pt>
                      <c:pt idx="17">
                        <c:v>143.032</c:v>
                      </c:pt>
                      <c:pt idx="18">
                        <c:v>144.428</c:v>
                      </c:pt>
                      <c:pt idx="19">
                        <c:v>144.637</c:v>
                      </c:pt>
                      <c:pt idx="20">
                        <c:v>141.734</c:v>
                      </c:pt>
                      <c:pt idx="21">
                        <c:v>138.483</c:v>
                      </c:pt>
                      <c:pt idx="22">
                        <c:v>137.226</c:v>
                      </c:pt>
                      <c:pt idx="23">
                        <c:v>136.368</c:v>
                      </c:pt>
                      <c:pt idx="24">
                        <c:v>136.506</c:v>
                      </c:pt>
                      <c:pt idx="25">
                        <c:v>137.687</c:v>
                      </c:pt>
                      <c:pt idx="26">
                        <c:v>139.092</c:v>
                      </c:pt>
                      <c:pt idx="27">
                        <c:v>140.51</c:v>
                      </c:pt>
                      <c:pt idx="28">
                        <c:v>142.418</c:v>
                      </c:pt>
                      <c:pt idx="29">
                        <c:v>144.051</c:v>
                      </c:pt>
                      <c:pt idx="30">
                        <c:v>145.443</c:v>
                      </c:pt>
                      <c:pt idx="31">
                        <c:v>145.718</c:v>
                      </c:pt>
                      <c:pt idx="32">
                        <c:v>142.637</c:v>
                      </c:pt>
                      <c:pt idx="33">
                        <c:v>139.279</c:v>
                      </c:pt>
                      <c:pt idx="34">
                        <c:v>137.811</c:v>
                      </c:pt>
                      <c:pt idx="35">
                        <c:v>136.872</c:v>
                      </c:pt>
                      <c:pt idx="36">
                        <c:v>136.854</c:v>
                      </c:pt>
                      <c:pt idx="37">
                        <c:v>137.53</c:v>
                      </c:pt>
                      <c:pt idx="38">
                        <c:v>138.737</c:v>
                      </c:pt>
                      <c:pt idx="39">
                        <c:v>140.38</c:v>
                      </c:pt>
                      <c:pt idx="40">
                        <c:v>142.245</c:v>
                      </c:pt>
                      <c:pt idx="41">
                        <c:v>143.791</c:v>
                      </c:pt>
                      <c:pt idx="42">
                        <c:v>145.144</c:v>
                      </c:pt>
                      <c:pt idx="43">
                        <c:v>145.347</c:v>
                      </c:pt>
                      <c:pt idx="44">
                        <c:v>142.491</c:v>
                      </c:pt>
                      <c:pt idx="45">
                        <c:v>139.207</c:v>
                      </c:pt>
                      <c:pt idx="46">
                        <c:v>137.846</c:v>
                      </c:pt>
                      <c:pt idx="47">
                        <c:v>137.017</c:v>
                      </c:pt>
                      <c:pt idx="48">
                        <c:v>137.347</c:v>
                      </c:pt>
                      <c:pt idx="49">
                        <c:v>138.331</c:v>
                      </c:pt>
                      <c:pt idx="50">
                        <c:v>139.539</c:v>
                      </c:pt>
                      <c:pt idx="51">
                        <c:v>141.371</c:v>
                      </c:pt>
                      <c:pt idx="52">
                        <c:v>143.347</c:v>
                      </c:pt>
                      <c:pt idx="53">
                        <c:v>145.02</c:v>
                      </c:pt>
                      <c:pt idx="54">
                        <c:v>146.162</c:v>
                      </c:pt>
                      <c:pt idx="55">
                        <c:v>146.456</c:v>
                      </c:pt>
                      <c:pt idx="56">
                        <c:v>143.393</c:v>
                      </c:pt>
                      <c:pt idx="57">
                        <c:v>140.115</c:v>
                      </c:pt>
                      <c:pt idx="58">
                        <c:v>138.841</c:v>
                      </c:pt>
                      <c:pt idx="59">
                        <c:v>138.093</c:v>
                      </c:pt>
                      <c:pt idx="60">
                        <c:v>138.519</c:v>
                      </c:pt>
                      <c:pt idx="61">
                        <c:v>139.316</c:v>
                      </c:pt>
                      <c:pt idx="62">
                        <c:v>140.335</c:v>
                      </c:pt>
                      <c:pt idx="63">
                        <c:v>142.161</c:v>
                      </c:pt>
                      <c:pt idx="64">
                        <c:v>143.934</c:v>
                      </c:pt>
                      <c:pt idx="65">
                        <c:v>145.602</c:v>
                      </c:pt>
                      <c:pt idx="66">
                        <c:v>147.01</c:v>
                      </c:pt>
                      <c:pt idx="67">
                        <c:v>147.401</c:v>
                      </c:pt>
                      <c:pt idx="68">
                        <c:v>144.31</c:v>
                      </c:pt>
                      <c:pt idx="69">
                        <c:v>141.041</c:v>
                      </c:pt>
                      <c:pt idx="70">
                        <c:v>139.762</c:v>
                      </c:pt>
                      <c:pt idx="71">
                        <c:v>138.925</c:v>
                      </c:pt>
                      <c:pt idx="72">
                        <c:v>139.445</c:v>
                      </c:pt>
                      <c:pt idx="73">
                        <c:v>140.168</c:v>
                      </c:pt>
                      <c:pt idx="74">
                        <c:v>141.229</c:v>
                      </c:pt>
                      <c:pt idx="75">
                        <c:v>143.091</c:v>
                      </c:pt>
                      <c:pt idx="76">
                        <c:v>144.841</c:v>
                      </c:pt>
                      <c:pt idx="77">
                        <c:v>146.691</c:v>
                      </c:pt>
                      <c:pt idx="78">
                        <c:v>148.013</c:v>
                      </c:pt>
                      <c:pt idx="79">
                        <c:v>148.4</c:v>
                      </c:pt>
                      <c:pt idx="80">
                        <c:v>145.418</c:v>
                      </c:pt>
                      <c:pt idx="81">
                        <c:v>142.154</c:v>
                      </c:pt>
                      <c:pt idx="82">
                        <c:v>140.671</c:v>
                      </c:pt>
                      <c:pt idx="83">
                        <c:v>139.842</c:v>
                      </c:pt>
                      <c:pt idx="84">
                        <c:v>139.188</c:v>
                      </c:pt>
                      <c:pt idx="85">
                        <c:v>139.9</c:v>
                      </c:pt>
                      <c:pt idx="86">
                        <c:v>141.096</c:v>
                      </c:pt>
                      <c:pt idx="87">
                        <c:v>142.927</c:v>
                      </c:pt>
                      <c:pt idx="88">
                        <c:v>144.95</c:v>
                      </c:pt>
                      <c:pt idx="89">
                        <c:v>146.608</c:v>
                      </c:pt>
                      <c:pt idx="90">
                        <c:v>148.042</c:v>
                      </c:pt>
                      <c:pt idx="91">
                        <c:v>148.515</c:v>
                      </c:pt>
                      <c:pt idx="92">
                        <c:v>145.335</c:v>
                      </c:pt>
                      <c:pt idx="93">
                        <c:v>142.081</c:v>
                      </c:pt>
                      <c:pt idx="94">
                        <c:v>140.51</c:v>
                      </c:pt>
                      <c:pt idx="95">
                        <c:v>139.756</c:v>
                      </c:pt>
                      <c:pt idx="96">
                        <c:v>140.091</c:v>
                      </c:pt>
                      <c:pt idx="97">
                        <c:v>140.875</c:v>
                      </c:pt>
                      <c:pt idx="98">
                        <c:v>142.061</c:v>
                      </c:pt>
                      <c:pt idx="99">
                        <c:v>144.026</c:v>
                      </c:pt>
                      <c:pt idx="100">
                        <c:v>146.219</c:v>
                      </c:pt>
                      <c:pt idx="101">
                        <c:v>147.855</c:v>
                      </c:pt>
                      <c:pt idx="102">
                        <c:v>149.26</c:v>
                      </c:pt>
                      <c:pt idx="103">
                        <c:v>149.764</c:v>
                      </c:pt>
                      <c:pt idx="104">
                        <c:v>146.792</c:v>
                      </c:pt>
                      <c:pt idx="105">
                        <c:v>143.634</c:v>
                      </c:pt>
                      <c:pt idx="106">
                        <c:v>142.065</c:v>
                      </c:pt>
                      <c:pt idx="107">
                        <c:v>141.235</c:v>
                      </c:pt>
                      <c:pt idx="108">
                        <c:v>140.945</c:v>
                      </c:pt>
                      <c:pt idx="109">
                        <c:v>141.782</c:v>
                      </c:pt>
                      <c:pt idx="110">
                        <c:v>143.207</c:v>
                      </c:pt>
                      <c:pt idx="111">
                        <c:v>145.046</c:v>
                      </c:pt>
                      <c:pt idx="112">
                        <c:v>147.218</c:v>
                      </c:pt>
                      <c:pt idx="113">
                        <c:v>148.812</c:v>
                      </c:pt>
                      <c:pt idx="114">
                        <c:v>150.417</c:v>
                      </c:pt>
                      <c:pt idx="115">
                        <c:v>150.915</c:v>
                      </c:pt>
                      <c:pt idx="116">
                        <c:v>147.858</c:v>
                      </c:pt>
                      <c:pt idx="117">
                        <c:v>144.818</c:v>
                      </c:pt>
                      <c:pt idx="118">
                        <c:v>143.259</c:v>
                      </c:pt>
                      <c:pt idx="119">
                        <c:v>142.514</c:v>
                      </c:pt>
                      <c:pt idx="120">
                        <c:v>140.903</c:v>
                      </c:pt>
                      <c:pt idx="121">
                        <c:v>141.38</c:v>
                      </c:pt>
                      <c:pt idx="122">
                        <c:v>142.751</c:v>
                      </c:pt>
                      <c:pt idx="123">
                        <c:v>144.631</c:v>
                      </c:pt>
                      <c:pt idx="124">
                        <c:v>146.549</c:v>
                      </c:pt>
                      <c:pt idx="125">
                        <c:v>148.182</c:v>
                      </c:pt>
                      <c:pt idx="126">
                        <c:v>149.636</c:v>
                      </c:pt>
                      <c:pt idx="127">
                        <c:v>150.023</c:v>
                      </c:pt>
                      <c:pt idx="128">
                        <c:v>147.094</c:v>
                      </c:pt>
                      <c:pt idx="129">
                        <c:v>144.026</c:v>
                      </c:pt>
                      <c:pt idx="130">
                        <c:v>142.841</c:v>
                      </c:pt>
                      <c:pt idx="131">
                        <c:v>142.101</c:v>
                      </c:pt>
                      <c:pt idx="132">
                        <c:v>141.812</c:v>
                      </c:pt>
                      <c:pt idx="133">
                        <c:v>142.516</c:v>
                      </c:pt>
                      <c:pt idx="134">
                        <c:v>143.885</c:v>
                      </c:pt>
                      <c:pt idx="135">
                        <c:v>145.818</c:v>
                      </c:pt>
                      <c:pt idx="136">
                        <c:v>147.778</c:v>
                      </c:pt>
                      <c:pt idx="137">
                        <c:v>149.418</c:v>
                      </c:pt>
                      <c:pt idx="138">
                        <c:v>151.039</c:v>
                      </c:pt>
                      <c:pt idx="139">
                        <c:v>151.541</c:v>
                      </c:pt>
                      <c:pt idx="140">
                        <c:v>148.601</c:v>
                      </c:pt>
                      <c:pt idx="141">
                        <c:v>145.538</c:v>
                      </c:pt>
                      <c:pt idx="142">
                        <c:v>144.091</c:v>
                      </c:pt>
                      <c:pt idx="143">
                        <c:v>143.228</c:v>
                      </c:pt>
                      <c:pt idx="144">
                        <c:v>142.711</c:v>
                      </c:pt>
                      <c:pt idx="145">
                        <c:v>143.416</c:v>
                      </c:pt>
                      <c:pt idx="146">
                        <c:v>144.781</c:v>
                      </c:pt>
                      <c:pt idx="147">
                        <c:v>146.634</c:v>
                      </c:pt>
                      <c:pt idx="148">
                        <c:v>148.728</c:v>
                      </c:pt>
                      <c:pt idx="149">
                        <c:v>150.398</c:v>
                      </c:pt>
                      <c:pt idx="150">
                        <c:v>151.905</c:v>
                      </c:pt>
                      <c:pt idx="151">
                        <c:v>152.288</c:v>
                      </c:pt>
                      <c:pt idx="152">
                        <c:v>149.22</c:v>
                      </c:pt>
                      <c:pt idx="153">
                        <c:v>146.142</c:v>
                      </c:pt>
                      <c:pt idx="154">
                        <c:v>144.689</c:v>
                      </c:pt>
                      <c:pt idx="155">
                        <c:v>143.948</c:v>
                      </c:pt>
                      <c:pt idx="156">
                        <c:v>143.966</c:v>
                      </c:pt>
                      <c:pt idx="157">
                        <c:v>144.577</c:v>
                      </c:pt>
                      <c:pt idx="158">
                        <c:v>145.83</c:v>
                      </c:pt>
                      <c:pt idx="159">
                        <c:v>147.618</c:v>
                      </c:pt>
                      <c:pt idx="160">
                        <c:v>149.662</c:v>
                      </c:pt>
                      <c:pt idx="161">
                        <c:v>151.307</c:v>
                      </c:pt>
                      <c:pt idx="162">
                        <c:v>152.79</c:v>
                      </c:pt>
                      <c:pt idx="163">
                        <c:v>153.186</c:v>
                      </c:pt>
                      <c:pt idx="164">
                        <c:v>150.112</c:v>
                      </c:pt>
                      <c:pt idx="165">
                        <c:v>147.073</c:v>
                      </c:pt>
                      <c:pt idx="166">
                        <c:v>145.809</c:v>
                      </c:pt>
                      <c:pt idx="167">
                        <c:v>145.071</c:v>
                      </c:pt>
                      <c:pt idx="168">
                        <c:v>145.485</c:v>
                      </c:pt>
                      <c:pt idx="169">
                        <c:v>146.131</c:v>
                      </c:pt>
                      <c:pt idx="170">
                        <c:v>147.652</c:v>
                      </c:pt>
                      <c:pt idx="171">
                        <c:v>149.508</c:v>
                      </c:pt>
                      <c:pt idx="172">
                        <c:v>151.87</c:v>
                      </c:pt>
                      <c:pt idx="173">
                        <c:v>154.051</c:v>
                      </c:pt>
                      <c:pt idx="174">
                        <c:v>155.607</c:v>
                      </c:pt>
                      <c:pt idx="175">
                        <c:v>156.08</c:v>
                      </c:pt>
                      <c:pt idx="176">
                        <c:v>152.835</c:v>
                      </c:pt>
                      <c:pt idx="177">
                        <c:v>149.994</c:v>
                      </c:pt>
                      <c:pt idx="178">
                        <c:v>148.453</c:v>
                      </c:pt>
                      <c:pt idx="179">
                        <c:v>147.544</c:v>
                      </c:pt>
                      <c:pt idx="180">
                        <c:v>148.052</c:v>
                      </c:pt>
                      <c:pt idx="181">
                        <c:v>148.845</c:v>
                      </c:pt>
                      <c:pt idx="182">
                        <c:v>150.631</c:v>
                      </c:pt>
                      <c:pt idx="183">
                        <c:v>152.433</c:v>
                      </c:pt>
                      <c:pt idx="184">
                        <c:v>154.201</c:v>
                      </c:pt>
                      <c:pt idx="185">
                        <c:v>155.812</c:v>
                      </c:pt>
                      <c:pt idx="186">
                        <c:v>156.539</c:v>
                      </c:pt>
                      <c:pt idx="187">
                        <c:v>157.974</c:v>
                      </c:pt>
                      <c:pt idx="188">
                        <c:v>154.533</c:v>
                      </c:pt>
                      <c:pt idx="189">
                        <c:v>151.578</c:v>
                      </c:pt>
                      <c:pt idx="190">
                        <c:v>150.019</c:v>
                      </c:pt>
                      <c:pt idx="191">
                        <c:v>148.91</c:v>
                      </c:pt>
                      <c:pt idx="192">
                        <c:v>146.737</c:v>
                      </c:pt>
                      <c:pt idx="193">
                        <c:v>147.442</c:v>
                      </c:pt>
                      <c:pt idx="194">
                        <c:v>148.618</c:v>
                      </c:pt>
                      <c:pt idx="195">
                        <c:v>150.345</c:v>
                      </c:pt>
                      <c:pt idx="196">
                        <c:v>152.165</c:v>
                      </c:pt>
                      <c:pt idx="197">
                        <c:v>154.022</c:v>
                      </c:pt>
                      <c:pt idx="198">
                        <c:v>155.525</c:v>
                      </c:pt>
                      <c:pt idx="199">
                        <c:v>155.907</c:v>
                      </c:pt>
                      <c:pt idx="200">
                        <c:v>152.838</c:v>
                      </c:pt>
                      <c:pt idx="201">
                        <c:v>149.763</c:v>
                      </c:pt>
                      <c:pt idx="202">
                        <c:v>148.314</c:v>
                      </c:pt>
                      <c:pt idx="203">
                        <c:v>147.481</c:v>
                      </c:pt>
                      <c:pt idx="204">
                        <c:v>146.598</c:v>
                      </c:pt>
                      <c:pt idx="205">
                        <c:v>147.335</c:v>
                      </c:pt>
                      <c:pt idx="206">
                        <c:v>148.341</c:v>
                      </c:pt>
                      <c:pt idx="207">
                        <c:v>149.931</c:v>
                      </c:pt>
                      <c:pt idx="208">
                        <c:v>151.931</c:v>
                      </c:pt>
                      <c:pt idx="209">
                        <c:v>153.579</c:v>
                      </c:pt>
                      <c:pt idx="210">
                        <c:v>155.071</c:v>
                      </c:pt>
                      <c:pt idx="211">
                        <c:v>155.599</c:v>
                      </c:pt>
                      <c:pt idx="212">
                        <c:v>152.651</c:v>
                      </c:pt>
                      <c:pt idx="213">
                        <c:v>149.8</c:v>
                      </c:pt>
                      <c:pt idx="214">
                        <c:v>148.302</c:v>
                      </c:pt>
                      <c:pt idx="215">
                        <c:v>147.507</c:v>
                      </c:pt>
                      <c:pt idx="216">
                        <c:v>147.583</c:v>
                      </c:pt>
                      <c:pt idx="217">
                        <c:v>148.375</c:v>
                      </c:pt>
                      <c:pt idx="218">
                        <c:v>149.697</c:v>
                      </c:pt>
                      <c:pt idx="219">
                        <c:v>151.532</c:v>
                      </c:pt>
                      <c:pt idx="220">
                        <c:v>153.566</c:v>
                      </c:pt>
                      <c:pt idx="221">
                        <c:v>155.892</c:v>
                      </c:pt>
                      <c:pt idx="222">
                        <c:v>157.577</c:v>
                      </c:pt>
                      <c:pt idx="223">
                        <c:v>158.195</c:v>
                      </c:pt>
                      <c:pt idx="224">
                        <c:v>154.654</c:v>
                      </c:pt>
                      <c:pt idx="225">
                        <c:v>151.353</c:v>
                      </c:pt>
                      <c:pt idx="226">
                        <c:v>149.827</c:v>
                      </c:pt>
                      <c:pt idx="227">
                        <c:v>148.776</c:v>
                      </c:pt>
                      <c:pt idx="228">
                        <c:v>148.54</c:v>
                      </c:pt>
                      <c:pt idx="229">
                        <c:v>149.311</c:v>
                      </c:pt>
                      <c:pt idx="230">
                        <c:v>150.55</c:v>
                      </c:pt>
                      <c:pt idx="231">
                        <c:v>152.421</c:v>
                      </c:pt>
                      <c:pt idx="232">
                        <c:v>154.507</c:v>
                      </c:pt>
                      <c:pt idx="233">
                        <c:v>156.739</c:v>
                      </c:pt>
                      <c:pt idx="234">
                        <c:v>158.338</c:v>
                      </c:pt>
                      <c:pt idx="235">
                        <c:v>158.755</c:v>
                      </c:pt>
                      <c:pt idx="236">
                        <c:v>155.329</c:v>
                      </c:pt>
                      <c:pt idx="237">
                        <c:v>152.328</c:v>
                      </c:pt>
                      <c:pt idx="238">
                        <c:v>150.789</c:v>
                      </c:pt>
                      <c:pt idx="239">
                        <c:v>149.609</c:v>
                      </c:pt>
                      <c:pt idx="240">
                        <c:v>148.352</c:v>
                      </c:pt>
                      <c:pt idx="241">
                        <c:v>149.075</c:v>
                      </c:pt>
                      <c:pt idx="242">
                        <c:v>150.564</c:v>
                      </c:pt>
                      <c:pt idx="243">
                        <c:v>152.402</c:v>
                      </c:pt>
                      <c:pt idx="244">
                        <c:v>154.413</c:v>
                      </c:pt>
                      <c:pt idx="245">
                        <c:v>156.691</c:v>
                      </c:pt>
                      <c:pt idx="246">
                        <c:v>158.235</c:v>
                      </c:pt>
                      <c:pt idx="247">
                        <c:v>158.747</c:v>
                      </c:pt>
                      <c:pt idx="248">
                        <c:v>155.43</c:v>
                      </c:pt>
                      <c:pt idx="249">
                        <c:v>152.493</c:v>
                      </c:pt>
                      <c:pt idx="250">
                        <c:v>150.701</c:v>
                      </c:pt>
                      <c:pt idx="251">
                        <c:v>149.771</c:v>
                      </c:pt>
                      <c:pt idx="252">
                        <c:v>149.299</c:v>
                      </c:pt>
                      <c:pt idx="253">
                        <c:v>150.128</c:v>
                      </c:pt>
                      <c:pt idx="254">
                        <c:v>151.481</c:v>
                      </c:pt>
                      <c:pt idx="255">
                        <c:v>153.521</c:v>
                      </c:pt>
                      <c:pt idx="256">
                        <c:v>155.933</c:v>
                      </c:pt>
                      <c:pt idx="257">
                        <c:v>158.299</c:v>
                      </c:pt>
                      <c:pt idx="258">
                        <c:v>160.09</c:v>
                      </c:pt>
                      <c:pt idx="259">
                        <c:v>160.819</c:v>
                      </c:pt>
                      <c:pt idx="260">
                        <c:v>157.395</c:v>
                      </c:pt>
                      <c:pt idx="261">
                        <c:v>154.078</c:v>
                      </c:pt>
                      <c:pt idx="262">
                        <c:v>152.551</c:v>
                      </c:pt>
                      <c:pt idx="263">
                        <c:v>151.395</c:v>
                      </c:pt>
                      <c:pt idx="264">
                        <c:v>150.747</c:v>
                      </c:pt>
                      <c:pt idx="265">
                        <c:v>151.541</c:v>
                      </c:pt>
                      <c:pt idx="266">
                        <c:v>153.313</c:v>
                      </c:pt>
                      <c:pt idx="267">
                        <c:v>155.773</c:v>
                      </c:pt>
                      <c:pt idx="268">
                        <c:v>158.6</c:v>
                      </c:pt>
                      <c:pt idx="269">
                        <c:v>161.168</c:v>
                      </c:pt>
                      <c:pt idx="270">
                        <c:v>163.683</c:v>
                      </c:pt>
                      <c:pt idx="271">
                        <c:v>164.768</c:v>
                      </c:pt>
                      <c:pt idx="272">
                        <c:v>161.351</c:v>
                      </c:pt>
                      <c:pt idx="273">
                        <c:v>158.082</c:v>
                      </c:pt>
                      <c:pt idx="274">
                        <c:v>155.546</c:v>
                      </c:pt>
                      <c:pt idx="275">
                        <c:v>153.986</c:v>
                      </c:pt>
                      <c:pt idx="276">
                        <c:v>153.443</c:v>
                      </c:pt>
                      <c:pt idx="277">
                        <c:v>154.467</c:v>
                      </c:pt>
                      <c:pt idx="278">
                        <c:v>156.255</c:v>
                      </c:pt>
                      <c:pt idx="279">
                        <c:v>158.131</c:v>
                      </c:pt>
                      <c:pt idx="280">
                        <c:v>160.89</c:v>
                      </c:pt>
                      <c:pt idx="281">
                        <c:v>163.441</c:v>
                      </c:pt>
                      <c:pt idx="282">
                        <c:v>165.634</c:v>
                      </c:pt>
                      <c:pt idx="283">
                        <c:v>166.699</c:v>
                      </c:pt>
                      <c:pt idx="284">
                        <c:v>163.233</c:v>
                      </c:pt>
                      <c:pt idx="285">
                        <c:v>159.881</c:v>
                      </c:pt>
                      <c:pt idx="286">
                        <c:v>157.436</c:v>
                      </c:pt>
                      <c:pt idx="287">
                        <c:v>155.928</c:v>
                      </c:pt>
                      <c:pt idx="288">
                        <c:v>157.021</c:v>
                      </c:pt>
                      <c:pt idx="289">
                        <c:v>157.805</c:v>
                      </c:pt>
                      <c:pt idx="290">
                        <c:v>160.188</c:v>
                      </c:pt>
                      <c:pt idx="291">
                        <c:v>162.614</c:v>
                      </c:pt>
                      <c:pt idx="292">
                        <c:v>165.435</c:v>
                      </c:pt>
                      <c:pt idx="293">
                        <c:v>167.977</c:v>
                      </c:pt>
                      <c:pt idx="294">
                        <c:v>170.492</c:v>
                      </c:pt>
                      <c:pt idx="295">
                        <c:v>170.981</c:v>
                      </c:pt>
                      <c:pt idx="296">
                        <c:v>166.515</c:v>
                      </c:pt>
                      <c:pt idx="297">
                        <c:v>163.859</c:v>
                      </c:pt>
                      <c:pt idx="298">
                        <c:v>161.302</c:v>
                      </c:pt>
                      <c:pt idx="299">
                        <c:v>159.174</c:v>
                      </c:pt>
                    </c:numCache>
                  </c:numRef>
                </c:val>
                <c:smooth val="1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分析!$A$9</c15:sqref>
                        </c15:formulaRef>
                      </c:ext>
                    </c:extLst>
                    <c:strCache>
                      <c:ptCount val="1"/>
                      <c:pt idx="0">
                        <c:v>北极点大气层厚度除以10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微软雅黑" panose="020B0503020204020204" charset="-122"/>
                          <a:ea typeface="微软雅黑" panose="020B0503020204020204" charset="-122"/>
                          <a:cs typeface="微软雅黑" panose="020B0503020204020204" charset="-122"/>
                          <a:sym typeface="微软雅黑" panose="020B0503020204020204" charset="-122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分析!$B$1:$KO$1</c15:sqref>
                        </c15:formulaRef>
                      </c:ext>
                    </c:extLst>
                    <c:strCache>
                      <c:ptCount val="300"/>
                      <c:pt idx="0">
                        <c:v>2001/1/1</c:v>
                      </c:pt>
                      <c:pt idx="1">
                        <c:v>2001/2/1</c:v>
                      </c:pt>
                      <c:pt idx="2">
                        <c:v>2001/3/1</c:v>
                      </c:pt>
                      <c:pt idx="3">
                        <c:v>2001/4/1</c:v>
                      </c:pt>
                      <c:pt idx="4">
                        <c:v>2001/5/1</c:v>
                      </c:pt>
                      <c:pt idx="5">
                        <c:v>2001/6/1</c:v>
                      </c:pt>
                      <c:pt idx="6">
                        <c:v>2001/7/1</c:v>
                      </c:pt>
                      <c:pt idx="7">
                        <c:v>2001/8/1</c:v>
                      </c:pt>
                      <c:pt idx="8">
                        <c:v>2001/9/1</c:v>
                      </c:pt>
                      <c:pt idx="9">
                        <c:v>2001/10/1</c:v>
                      </c:pt>
                      <c:pt idx="10">
                        <c:v>2001/11/1</c:v>
                      </c:pt>
                      <c:pt idx="11">
                        <c:v>2001/12/1</c:v>
                      </c:pt>
                      <c:pt idx="12">
                        <c:v>2002/1/1</c:v>
                      </c:pt>
                      <c:pt idx="13">
                        <c:v>2002/2/1</c:v>
                      </c:pt>
                      <c:pt idx="14">
                        <c:v>2002/3/1</c:v>
                      </c:pt>
                      <c:pt idx="15">
                        <c:v>2002/4/1</c:v>
                      </c:pt>
                      <c:pt idx="16">
                        <c:v>2002/5/1</c:v>
                      </c:pt>
                      <c:pt idx="17">
                        <c:v>2002/6/1</c:v>
                      </c:pt>
                      <c:pt idx="18">
                        <c:v>2002/7/1</c:v>
                      </c:pt>
                      <c:pt idx="19">
                        <c:v>2002/8/1</c:v>
                      </c:pt>
                      <c:pt idx="20">
                        <c:v>2002/9/1</c:v>
                      </c:pt>
                      <c:pt idx="21">
                        <c:v>2002/10/1</c:v>
                      </c:pt>
                      <c:pt idx="22">
                        <c:v>2002/11/1</c:v>
                      </c:pt>
                      <c:pt idx="23">
                        <c:v>2002/12/1</c:v>
                      </c:pt>
                      <c:pt idx="24">
                        <c:v>2003/1/1</c:v>
                      </c:pt>
                      <c:pt idx="25">
                        <c:v>2003/2/1</c:v>
                      </c:pt>
                      <c:pt idx="26">
                        <c:v>2003/3/1</c:v>
                      </c:pt>
                      <c:pt idx="27">
                        <c:v>2003/4/1</c:v>
                      </c:pt>
                      <c:pt idx="28">
                        <c:v>2003/5/1</c:v>
                      </c:pt>
                      <c:pt idx="29">
                        <c:v>2003/6/1</c:v>
                      </c:pt>
                      <c:pt idx="30">
                        <c:v>2003/7/1</c:v>
                      </c:pt>
                      <c:pt idx="31">
                        <c:v>2003/8/1</c:v>
                      </c:pt>
                      <c:pt idx="32">
                        <c:v>2003/9/1</c:v>
                      </c:pt>
                      <c:pt idx="33">
                        <c:v>2003/10/1</c:v>
                      </c:pt>
                      <c:pt idx="34">
                        <c:v>2003/11/1</c:v>
                      </c:pt>
                      <c:pt idx="35">
                        <c:v>2003/12/1</c:v>
                      </c:pt>
                      <c:pt idx="36">
                        <c:v>2004/1/1</c:v>
                      </c:pt>
                      <c:pt idx="37">
                        <c:v>2004/2/1</c:v>
                      </c:pt>
                      <c:pt idx="38">
                        <c:v>2004/3/1</c:v>
                      </c:pt>
                      <c:pt idx="39">
                        <c:v>2004/4/1</c:v>
                      </c:pt>
                      <c:pt idx="40">
                        <c:v>2004/5/1</c:v>
                      </c:pt>
                      <c:pt idx="41">
                        <c:v>2004/6/1</c:v>
                      </c:pt>
                      <c:pt idx="42">
                        <c:v>2004/7/1</c:v>
                      </c:pt>
                      <c:pt idx="43">
                        <c:v>2004/8/1</c:v>
                      </c:pt>
                      <c:pt idx="44">
                        <c:v>2004/9/1</c:v>
                      </c:pt>
                      <c:pt idx="45">
                        <c:v>2004/10/1</c:v>
                      </c:pt>
                      <c:pt idx="46">
                        <c:v>2004/11/1</c:v>
                      </c:pt>
                      <c:pt idx="47">
                        <c:v>2004/12/1</c:v>
                      </c:pt>
                      <c:pt idx="48">
                        <c:v>2005/1/1</c:v>
                      </c:pt>
                      <c:pt idx="49">
                        <c:v>2005/2/1</c:v>
                      </c:pt>
                      <c:pt idx="50">
                        <c:v>2005/3/1</c:v>
                      </c:pt>
                      <c:pt idx="51">
                        <c:v>2005/4/1</c:v>
                      </c:pt>
                      <c:pt idx="52">
                        <c:v>2005/5/1</c:v>
                      </c:pt>
                      <c:pt idx="53">
                        <c:v>2005/6/1</c:v>
                      </c:pt>
                      <c:pt idx="54">
                        <c:v>2005/7/1</c:v>
                      </c:pt>
                      <c:pt idx="55">
                        <c:v>2005/8/1</c:v>
                      </c:pt>
                      <c:pt idx="56">
                        <c:v>2005/9/1</c:v>
                      </c:pt>
                      <c:pt idx="57">
                        <c:v>2005/10/1</c:v>
                      </c:pt>
                      <c:pt idx="58">
                        <c:v>2005/11/1</c:v>
                      </c:pt>
                      <c:pt idx="59">
                        <c:v>2005/12/1</c:v>
                      </c:pt>
                      <c:pt idx="60">
                        <c:v>2006/1/1</c:v>
                      </c:pt>
                      <c:pt idx="61">
                        <c:v>2006/2/1</c:v>
                      </c:pt>
                      <c:pt idx="62">
                        <c:v>2006/3/1</c:v>
                      </c:pt>
                      <c:pt idx="63">
                        <c:v>2006/4/1</c:v>
                      </c:pt>
                      <c:pt idx="64">
                        <c:v>2006/5/1</c:v>
                      </c:pt>
                      <c:pt idx="65">
                        <c:v>2006/6/1</c:v>
                      </c:pt>
                      <c:pt idx="66">
                        <c:v>2006/7/1</c:v>
                      </c:pt>
                      <c:pt idx="67">
                        <c:v>2006/8/1</c:v>
                      </c:pt>
                      <c:pt idx="68">
                        <c:v>2006/9/1</c:v>
                      </c:pt>
                      <c:pt idx="69">
                        <c:v>2006/10/1</c:v>
                      </c:pt>
                      <c:pt idx="70">
                        <c:v>2006/11/1</c:v>
                      </c:pt>
                      <c:pt idx="71">
                        <c:v>2006/12/1</c:v>
                      </c:pt>
                      <c:pt idx="72">
                        <c:v>2007/1/1</c:v>
                      </c:pt>
                      <c:pt idx="73">
                        <c:v>2007/2/1</c:v>
                      </c:pt>
                      <c:pt idx="74">
                        <c:v>2007/3/1</c:v>
                      </c:pt>
                      <c:pt idx="75">
                        <c:v>2007/4/1</c:v>
                      </c:pt>
                      <c:pt idx="76">
                        <c:v>2007/5/1</c:v>
                      </c:pt>
                      <c:pt idx="77">
                        <c:v>2007/6/1</c:v>
                      </c:pt>
                      <c:pt idx="78">
                        <c:v>2007/7/1</c:v>
                      </c:pt>
                      <c:pt idx="79">
                        <c:v>2007/8/1</c:v>
                      </c:pt>
                      <c:pt idx="80">
                        <c:v>2007/9/1</c:v>
                      </c:pt>
                      <c:pt idx="81">
                        <c:v>2007/10/1</c:v>
                      </c:pt>
                      <c:pt idx="82">
                        <c:v>2007/11/1</c:v>
                      </c:pt>
                      <c:pt idx="83">
                        <c:v>2007/12/1</c:v>
                      </c:pt>
                      <c:pt idx="84">
                        <c:v>2008/1/1</c:v>
                      </c:pt>
                      <c:pt idx="85">
                        <c:v>2008/2/1</c:v>
                      </c:pt>
                      <c:pt idx="86">
                        <c:v>2008/3/1</c:v>
                      </c:pt>
                      <c:pt idx="87">
                        <c:v>2008/4/1</c:v>
                      </c:pt>
                      <c:pt idx="88">
                        <c:v>2008/5/1</c:v>
                      </c:pt>
                      <c:pt idx="89">
                        <c:v>2008/6/1</c:v>
                      </c:pt>
                      <c:pt idx="90">
                        <c:v>2008/7/1</c:v>
                      </c:pt>
                      <c:pt idx="91">
                        <c:v>2008/8/1</c:v>
                      </c:pt>
                      <c:pt idx="92">
                        <c:v>2008/9/1</c:v>
                      </c:pt>
                      <c:pt idx="93">
                        <c:v>2008/10/1</c:v>
                      </c:pt>
                      <c:pt idx="94">
                        <c:v>2008/11/1</c:v>
                      </c:pt>
                      <c:pt idx="95">
                        <c:v>2008/12/1</c:v>
                      </c:pt>
                      <c:pt idx="96">
                        <c:v>2009/1/1</c:v>
                      </c:pt>
                      <c:pt idx="97">
                        <c:v>2009/2/1</c:v>
                      </c:pt>
                      <c:pt idx="98">
                        <c:v>2009/3/1</c:v>
                      </c:pt>
                      <c:pt idx="99">
                        <c:v>2009/4/1</c:v>
                      </c:pt>
                      <c:pt idx="100">
                        <c:v>2009/5/1</c:v>
                      </c:pt>
                      <c:pt idx="101">
                        <c:v>2009/6/1</c:v>
                      </c:pt>
                      <c:pt idx="102">
                        <c:v>2009/7/1</c:v>
                      </c:pt>
                      <c:pt idx="103">
                        <c:v>2009/8/1</c:v>
                      </c:pt>
                      <c:pt idx="104">
                        <c:v>2009/9/1</c:v>
                      </c:pt>
                      <c:pt idx="105">
                        <c:v>2009/10/1</c:v>
                      </c:pt>
                      <c:pt idx="106">
                        <c:v>2009/11/1</c:v>
                      </c:pt>
                      <c:pt idx="107">
                        <c:v>2009/12/1</c:v>
                      </c:pt>
                      <c:pt idx="108">
                        <c:v>2010/1/1</c:v>
                      </c:pt>
                      <c:pt idx="109">
                        <c:v>2010/2/1</c:v>
                      </c:pt>
                      <c:pt idx="110">
                        <c:v>2010/3/1</c:v>
                      </c:pt>
                      <c:pt idx="111">
                        <c:v>2010/4/1</c:v>
                      </c:pt>
                      <c:pt idx="112">
                        <c:v>2010/5/1</c:v>
                      </c:pt>
                      <c:pt idx="113">
                        <c:v>2010/6/1</c:v>
                      </c:pt>
                      <c:pt idx="114">
                        <c:v>2010/7/1</c:v>
                      </c:pt>
                      <c:pt idx="115">
                        <c:v>2010/8/1</c:v>
                      </c:pt>
                      <c:pt idx="116">
                        <c:v>2010/9/1</c:v>
                      </c:pt>
                      <c:pt idx="117">
                        <c:v>2010/10/1</c:v>
                      </c:pt>
                      <c:pt idx="118">
                        <c:v>2010/11/1</c:v>
                      </c:pt>
                      <c:pt idx="119">
                        <c:v>2010/12/1</c:v>
                      </c:pt>
                      <c:pt idx="120">
                        <c:v>2011/1/1</c:v>
                      </c:pt>
                      <c:pt idx="121">
                        <c:v>2011/2/1</c:v>
                      </c:pt>
                      <c:pt idx="122">
                        <c:v>2011/3/1</c:v>
                      </c:pt>
                      <c:pt idx="123">
                        <c:v>2011/4/1</c:v>
                      </c:pt>
                      <c:pt idx="124">
                        <c:v>2011/5/1</c:v>
                      </c:pt>
                      <c:pt idx="125">
                        <c:v>2011/6/1</c:v>
                      </c:pt>
                      <c:pt idx="126">
                        <c:v>2011/7/1</c:v>
                      </c:pt>
                      <c:pt idx="127">
                        <c:v>2011/8/1</c:v>
                      </c:pt>
                      <c:pt idx="128">
                        <c:v>2011/9/1</c:v>
                      </c:pt>
                      <c:pt idx="129">
                        <c:v>2011/10/1</c:v>
                      </c:pt>
                      <c:pt idx="130">
                        <c:v>2011/11/1</c:v>
                      </c:pt>
                      <c:pt idx="131">
                        <c:v>2011/12/1</c:v>
                      </c:pt>
                      <c:pt idx="132">
                        <c:v>2012/1/1</c:v>
                      </c:pt>
                      <c:pt idx="133">
                        <c:v>2012/2/1</c:v>
                      </c:pt>
                      <c:pt idx="134">
                        <c:v>2012/3/1</c:v>
                      </c:pt>
                      <c:pt idx="135">
                        <c:v>2012/4/1</c:v>
                      </c:pt>
                      <c:pt idx="136">
                        <c:v>2012/5/1</c:v>
                      </c:pt>
                      <c:pt idx="137">
                        <c:v>2012/6/1</c:v>
                      </c:pt>
                      <c:pt idx="138">
                        <c:v>2012/7/1</c:v>
                      </c:pt>
                      <c:pt idx="139">
                        <c:v>2012/8/1</c:v>
                      </c:pt>
                      <c:pt idx="140">
                        <c:v>2012/9/1</c:v>
                      </c:pt>
                      <c:pt idx="141">
                        <c:v>2012/10/1</c:v>
                      </c:pt>
                      <c:pt idx="142">
                        <c:v>2012/11/1</c:v>
                      </c:pt>
                      <c:pt idx="143">
                        <c:v>2012/12/1</c:v>
                      </c:pt>
                      <c:pt idx="144">
                        <c:v>2013/1/1</c:v>
                      </c:pt>
                      <c:pt idx="145">
                        <c:v>2013/2/1</c:v>
                      </c:pt>
                      <c:pt idx="146">
                        <c:v>2013/3/1</c:v>
                      </c:pt>
                      <c:pt idx="147">
                        <c:v>2013/4/1</c:v>
                      </c:pt>
                      <c:pt idx="148">
                        <c:v>2013/5/1</c:v>
                      </c:pt>
                      <c:pt idx="149">
                        <c:v>2013/6/1</c:v>
                      </c:pt>
                      <c:pt idx="150">
                        <c:v>2013/7/1</c:v>
                      </c:pt>
                      <c:pt idx="151">
                        <c:v>2013/8/1</c:v>
                      </c:pt>
                      <c:pt idx="152">
                        <c:v>2013/9/1</c:v>
                      </c:pt>
                      <c:pt idx="153">
                        <c:v>2013/10/1</c:v>
                      </c:pt>
                      <c:pt idx="154">
                        <c:v>2013/11/1</c:v>
                      </c:pt>
                      <c:pt idx="155">
                        <c:v>2013/12/1</c:v>
                      </c:pt>
                      <c:pt idx="156">
                        <c:v>2014/1/1</c:v>
                      </c:pt>
                      <c:pt idx="157">
                        <c:v>2014/2/1</c:v>
                      </c:pt>
                      <c:pt idx="158">
                        <c:v>2014/3/1</c:v>
                      </c:pt>
                      <c:pt idx="159">
                        <c:v>2014/4/1</c:v>
                      </c:pt>
                      <c:pt idx="160">
                        <c:v>2014/5/1</c:v>
                      </c:pt>
                      <c:pt idx="161">
                        <c:v>2014/6/1</c:v>
                      </c:pt>
                      <c:pt idx="162">
                        <c:v>2014/7/1</c:v>
                      </c:pt>
                      <c:pt idx="163">
                        <c:v>2014/8/1</c:v>
                      </c:pt>
                      <c:pt idx="164">
                        <c:v>2014/9/1</c:v>
                      </c:pt>
                      <c:pt idx="165">
                        <c:v>2014/10/1</c:v>
                      </c:pt>
                      <c:pt idx="166">
                        <c:v>2014/11/1</c:v>
                      </c:pt>
                      <c:pt idx="167">
                        <c:v>2014/12/1</c:v>
                      </c:pt>
                      <c:pt idx="168">
                        <c:v>2015/1/1</c:v>
                      </c:pt>
                      <c:pt idx="169">
                        <c:v>2015/2/1</c:v>
                      </c:pt>
                      <c:pt idx="170">
                        <c:v>2015/3/1</c:v>
                      </c:pt>
                      <c:pt idx="171">
                        <c:v>2015/4/1</c:v>
                      </c:pt>
                      <c:pt idx="172">
                        <c:v>2015/5/1</c:v>
                      </c:pt>
                      <c:pt idx="173">
                        <c:v>2015/6/1</c:v>
                      </c:pt>
                      <c:pt idx="174">
                        <c:v>2015/7/1</c:v>
                      </c:pt>
                      <c:pt idx="175">
                        <c:v>2015/8/1</c:v>
                      </c:pt>
                      <c:pt idx="176">
                        <c:v>2015/9/1</c:v>
                      </c:pt>
                      <c:pt idx="177">
                        <c:v>2015/10/1</c:v>
                      </c:pt>
                      <c:pt idx="178">
                        <c:v>2015/11/1</c:v>
                      </c:pt>
                      <c:pt idx="179">
                        <c:v>2015/12/1</c:v>
                      </c:pt>
                      <c:pt idx="180">
                        <c:v>2016/1/1</c:v>
                      </c:pt>
                      <c:pt idx="181">
                        <c:v>2016/2/1</c:v>
                      </c:pt>
                      <c:pt idx="182">
                        <c:v>2016/3/1</c:v>
                      </c:pt>
                      <c:pt idx="183">
                        <c:v>2016/4/1</c:v>
                      </c:pt>
                      <c:pt idx="184">
                        <c:v>2016/5/1</c:v>
                      </c:pt>
                      <c:pt idx="185">
                        <c:v>2016/6/1</c:v>
                      </c:pt>
                      <c:pt idx="186">
                        <c:v>2016/7/1</c:v>
                      </c:pt>
                      <c:pt idx="187">
                        <c:v>2016/8/1</c:v>
                      </c:pt>
                      <c:pt idx="188">
                        <c:v>2016/9/1</c:v>
                      </c:pt>
                      <c:pt idx="189">
                        <c:v>2016/10/1</c:v>
                      </c:pt>
                      <c:pt idx="190">
                        <c:v>2016/11/1</c:v>
                      </c:pt>
                      <c:pt idx="191">
                        <c:v>2016/12/1</c:v>
                      </c:pt>
                      <c:pt idx="192">
                        <c:v>2017/1/1</c:v>
                      </c:pt>
                      <c:pt idx="193">
                        <c:v>2017/2/1</c:v>
                      </c:pt>
                      <c:pt idx="194">
                        <c:v>2017/3/1</c:v>
                      </c:pt>
                      <c:pt idx="195">
                        <c:v>2017/4/1</c:v>
                      </c:pt>
                      <c:pt idx="196">
                        <c:v>2017/5/1</c:v>
                      </c:pt>
                      <c:pt idx="197">
                        <c:v>2017/6/1</c:v>
                      </c:pt>
                      <c:pt idx="198">
                        <c:v>2017/7/1</c:v>
                      </c:pt>
                      <c:pt idx="199">
                        <c:v>2017/8/1</c:v>
                      </c:pt>
                      <c:pt idx="200">
                        <c:v>2017/9/1</c:v>
                      </c:pt>
                      <c:pt idx="201">
                        <c:v>2017/10/1</c:v>
                      </c:pt>
                      <c:pt idx="202">
                        <c:v>2017/11/1</c:v>
                      </c:pt>
                      <c:pt idx="203">
                        <c:v>2017/12/1</c:v>
                      </c:pt>
                      <c:pt idx="204">
                        <c:v>2018/1/1</c:v>
                      </c:pt>
                      <c:pt idx="205">
                        <c:v>2018/2/1</c:v>
                      </c:pt>
                      <c:pt idx="206">
                        <c:v>2018/3/1</c:v>
                      </c:pt>
                      <c:pt idx="207">
                        <c:v>2018/4/1</c:v>
                      </c:pt>
                      <c:pt idx="208">
                        <c:v>2018/5/1</c:v>
                      </c:pt>
                      <c:pt idx="209">
                        <c:v>2018/6/1</c:v>
                      </c:pt>
                      <c:pt idx="210">
                        <c:v>2018/7/1</c:v>
                      </c:pt>
                      <c:pt idx="211">
                        <c:v>2018/8/1</c:v>
                      </c:pt>
                      <c:pt idx="212">
                        <c:v>2018/9/1</c:v>
                      </c:pt>
                      <c:pt idx="213">
                        <c:v>2018/10/1</c:v>
                      </c:pt>
                      <c:pt idx="214">
                        <c:v>2018/11/1</c:v>
                      </c:pt>
                      <c:pt idx="215">
                        <c:v>2018/12/1</c:v>
                      </c:pt>
                      <c:pt idx="216">
                        <c:v>2019/1/1</c:v>
                      </c:pt>
                      <c:pt idx="217">
                        <c:v>2019/2/1</c:v>
                      </c:pt>
                      <c:pt idx="218">
                        <c:v>2019/3/1</c:v>
                      </c:pt>
                      <c:pt idx="219">
                        <c:v>2019/4/1</c:v>
                      </c:pt>
                      <c:pt idx="220">
                        <c:v>2019/5/1</c:v>
                      </c:pt>
                      <c:pt idx="221">
                        <c:v>2019/6/1</c:v>
                      </c:pt>
                      <c:pt idx="222">
                        <c:v>2019/7/1</c:v>
                      </c:pt>
                      <c:pt idx="223">
                        <c:v>2019/8/1</c:v>
                      </c:pt>
                      <c:pt idx="224">
                        <c:v>2019/9/1</c:v>
                      </c:pt>
                      <c:pt idx="225">
                        <c:v>2019/10/1</c:v>
                      </c:pt>
                      <c:pt idx="226">
                        <c:v>2019/11/1</c:v>
                      </c:pt>
                      <c:pt idx="227">
                        <c:v>2019/12/1</c:v>
                      </c:pt>
                      <c:pt idx="228">
                        <c:v>2020/1/1</c:v>
                      </c:pt>
                      <c:pt idx="229">
                        <c:v>2020/2/1</c:v>
                      </c:pt>
                      <c:pt idx="230">
                        <c:v>2020/3/1</c:v>
                      </c:pt>
                      <c:pt idx="231">
                        <c:v>2020/4/1</c:v>
                      </c:pt>
                      <c:pt idx="232">
                        <c:v>2020/5/1</c:v>
                      </c:pt>
                      <c:pt idx="233">
                        <c:v>2020/6/1</c:v>
                      </c:pt>
                      <c:pt idx="234">
                        <c:v>2020/7/1</c:v>
                      </c:pt>
                      <c:pt idx="235">
                        <c:v>2020/8/1</c:v>
                      </c:pt>
                      <c:pt idx="236">
                        <c:v>2020/9/1</c:v>
                      </c:pt>
                      <c:pt idx="237">
                        <c:v>2020/10/1</c:v>
                      </c:pt>
                      <c:pt idx="238">
                        <c:v>2020/11/1</c:v>
                      </c:pt>
                      <c:pt idx="239">
                        <c:v>2020/12/1</c:v>
                      </c:pt>
                      <c:pt idx="240">
                        <c:v>2021/1/1</c:v>
                      </c:pt>
                      <c:pt idx="241">
                        <c:v>2021/2/1</c:v>
                      </c:pt>
                      <c:pt idx="242">
                        <c:v>2021/3/1</c:v>
                      </c:pt>
                      <c:pt idx="243">
                        <c:v>2021/4/1</c:v>
                      </c:pt>
                      <c:pt idx="244">
                        <c:v>2021/5/1</c:v>
                      </c:pt>
                      <c:pt idx="245">
                        <c:v>2021/6/1</c:v>
                      </c:pt>
                      <c:pt idx="246">
                        <c:v>2021/7/1</c:v>
                      </c:pt>
                      <c:pt idx="247">
                        <c:v>2021/8/1</c:v>
                      </c:pt>
                      <c:pt idx="248">
                        <c:v>2021/9/1</c:v>
                      </c:pt>
                      <c:pt idx="249">
                        <c:v>2021/10/1</c:v>
                      </c:pt>
                      <c:pt idx="250">
                        <c:v>2021/11/1</c:v>
                      </c:pt>
                      <c:pt idx="251">
                        <c:v>2021/12/1</c:v>
                      </c:pt>
                      <c:pt idx="252">
                        <c:v>2022/1/1</c:v>
                      </c:pt>
                      <c:pt idx="253">
                        <c:v>2022/2/1</c:v>
                      </c:pt>
                      <c:pt idx="254">
                        <c:v>2022/3/1</c:v>
                      </c:pt>
                      <c:pt idx="255">
                        <c:v>2022/4/1</c:v>
                      </c:pt>
                      <c:pt idx="256">
                        <c:v>2022/5/1</c:v>
                      </c:pt>
                      <c:pt idx="257">
                        <c:v>2022/6/1</c:v>
                      </c:pt>
                      <c:pt idx="258">
                        <c:v>2022/7/1</c:v>
                      </c:pt>
                      <c:pt idx="259">
                        <c:v>2022/8/1</c:v>
                      </c:pt>
                      <c:pt idx="260">
                        <c:v>2022/9/1</c:v>
                      </c:pt>
                      <c:pt idx="261">
                        <c:v>2022/10/1</c:v>
                      </c:pt>
                      <c:pt idx="262">
                        <c:v>2022/11/1</c:v>
                      </c:pt>
                      <c:pt idx="263">
                        <c:v>2022/12/1</c:v>
                      </c:pt>
                      <c:pt idx="264">
                        <c:v>2023/1/1</c:v>
                      </c:pt>
                      <c:pt idx="265">
                        <c:v>2023/2/1</c:v>
                      </c:pt>
                      <c:pt idx="266">
                        <c:v>2023/3/1</c:v>
                      </c:pt>
                      <c:pt idx="267">
                        <c:v>2023/4/1</c:v>
                      </c:pt>
                      <c:pt idx="268">
                        <c:v>2023/5/1</c:v>
                      </c:pt>
                      <c:pt idx="269">
                        <c:v>2023/6/1</c:v>
                      </c:pt>
                      <c:pt idx="270">
                        <c:v>2023/7/1</c:v>
                      </c:pt>
                      <c:pt idx="271">
                        <c:v>2023/8/1</c:v>
                      </c:pt>
                      <c:pt idx="272">
                        <c:v>2023/9/1</c:v>
                      </c:pt>
                      <c:pt idx="273">
                        <c:v>2023/10/1</c:v>
                      </c:pt>
                      <c:pt idx="274">
                        <c:v>2023/11/1</c:v>
                      </c:pt>
                      <c:pt idx="275">
                        <c:v>2023/12/1</c:v>
                      </c:pt>
                      <c:pt idx="276">
                        <c:v>2024/1/1</c:v>
                      </c:pt>
                      <c:pt idx="277">
                        <c:v>2024/2/1</c:v>
                      </c:pt>
                      <c:pt idx="278">
                        <c:v>2024/3/1</c:v>
                      </c:pt>
                      <c:pt idx="279">
                        <c:v>2024/4/1</c:v>
                      </c:pt>
                      <c:pt idx="280">
                        <c:v>2024/5/1</c:v>
                      </c:pt>
                      <c:pt idx="281">
                        <c:v>2024/6/1</c:v>
                      </c:pt>
                      <c:pt idx="282">
                        <c:v>2024/7/1</c:v>
                      </c:pt>
                      <c:pt idx="283">
                        <c:v>2024/8/1</c:v>
                      </c:pt>
                      <c:pt idx="284">
                        <c:v>2024/9/1</c:v>
                      </c:pt>
                      <c:pt idx="285">
                        <c:v>2024/10/1</c:v>
                      </c:pt>
                      <c:pt idx="286">
                        <c:v>2024/11/1</c:v>
                      </c:pt>
                      <c:pt idx="287">
                        <c:v>2024/12/1</c:v>
                      </c:pt>
                      <c:pt idx="288">
                        <c:v>2025/1/1</c:v>
                      </c:pt>
                      <c:pt idx="289">
                        <c:v>2025/2/1</c:v>
                      </c:pt>
                      <c:pt idx="290">
                        <c:v>2025/3/1</c:v>
                      </c:pt>
                      <c:pt idx="291">
                        <c:v>2025/4/1</c:v>
                      </c:pt>
                      <c:pt idx="292">
                        <c:v>2025/5/1</c:v>
                      </c:pt>
                      <c:pt idx="293">
                        <c:v>2025/6/1</c:v>
                      </c:pt>
                      <c:pt idx="294">
                        <c:v>2025/7/1</c:v>
                      </c:pt>
                      <c:pt idx="295">
                        <c:v>2025/8/1</c:v>
                      </c:pt>
                      <c:pt idx="296">
                        <c:v>2025/9/1</c:v>
                      </c:pt>
                      <c:pt idx="297">
                        <c:v>2025/10/1</c:v>
                      </c:pt>
                      <c:pt idx="298">
                        <c:v>2025/11/1</c:v>
                      </c:pt>
                      <c:pt idx="299">
                        <c:v>2025/12/1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分析!$B$9:$KO$9</c15:sqref>
                        </c15:formulaRef>
                      </c:ext>
                    </c:extLst>
                    <c:numCache>
                      <c:formatCode>General</c:formatCode>
                      <c:ptCount val="300"/>
                      <c:pt idx="0">
                        <c:v>42.5</c:v>
                      </c:pt>
                      <c:pt idx="1">
                        <c:v>42.8</c:v>
                      </c:pt>
                      <c:pt idx="2">
                        <c:v>42.2</c:v>
                      </c:pt>
                      <c:pt idx="3">
                        <c:v>41.5</c:v>
                      </c:pt>
                      <c:pt idx="4">
                        <c:v>40.8</c:v>
                      </c:pt>
                      <c:pt idx="5">
                        <c:v>39.8</c:v>
                      </c:pt>
                      <c:pt idx="6">
                        <c:v>39.2</c:v>
                      </c:pt>
                      <c:pt idx="7">
                        <c:v>39.5</c:v>
                      </c:pt>
                      <c:pt idx="8">
                        <c:v>40.2</c:v>
                      </c:pt>
                      <c:pt idx="9">
                        <c:v>41.2</c:v>
                      </c:pt>
                      <c:pt idx="10">
                        <c:v>41.8</c:v>
                      </c:pt>
                      <c:pt idx="11">
                        <c:v>42.4</c:v>
                      </c:pt>
                      <c:pt idx="12">
                        <c:v>41.8</c:v>
                      </c:pt>
                      <c:pt idx="13">
                        <c:v>42</c:v>
                      </c:pt>
                      <c:pt idx="14">
                        <c:v>41.2</c:v>
                      </c:pt>
                      <c:pt idx="15">
                        <c:v>40.5</c:v>
                      </c:pt>
                      <c:pt idx="16">
                        <c:v>39.2</c:v>
                      </c:pt>
                      <c:pt idx="17">
                        <c:v>38.5</c:v>
                      </c:pt>
                      <c:pt idx="18">
                        <c:v>37.8</c:v>
                      </c:pt>
                      <c:pt idx="19">
                        <c:v>38.2</c:v>
                      </c:pt>
                      <c:pt idx="20">
                        <c:v>39</c:v>
                      </c:pt>
                      <c:pt idx="21">
                        <c:v>40.2</c:v>
                      </c:pt>
                      <c:pt idx="22">
                        <c:v>40.8</c:v>
                      </c:pt>
                      <c:pt idx="23">
                        <c:v>41.5</c:v>
                      </c:pt>
                      <c:pt idx="24">
                        <c:v>40.2</c:v>
                      </c:pt>
                      <c:pt idx="25">
                        <c:v>40.5</c:v>
                      </c:pt>
                      <c:pt idx="26">
                        <c:v>39.8</c:v>
                      </c:pt>
                      <c:pt idx="27">
                        <c:v>39.2</c:v>
                      </c:pt>
                      <c:pt idx="28">
                        <c:v>38</c:v>
                      </c:pt>
                      <c:pt idx="29">
                        <c:v>37.2</c:v>
                      </c:pt>
                      <c:pt idx="30">
                        <c:v>36.5</c:v>
                      </c:pt>
                      <c:pt idx="31">
                        <c:v>36.8</c:v>
                      </c:pt>
                      <c:pt idx="32">
                        <c:v>37.5</c:v>
                      </c:pt>
                      <c:pt idx="33">
                        <c:v>38.8</c:v>
                      </c:pt>
                      <c:pt idx="34">
                        <c:v>45.5</c:v>
                      </c:pt>
                      <c:pt idx="35">
                        <c:v>40.8</c:v>
                      </c:pt>
                      <c:pt idx="36">
                        <c:v>39.2</c:v>
                      </c:pt>
                      <c:pt idx="37">
                        <c:v>39.4</c:v>
                      </c:pt>
                      <c:pt idx="38">
                        <c:v>38.8</c:v>
                      </c:pt>
                      <c:pt idx="39">
                        <c:v>38.2</c:v>
                      </c:pt>
                      <c:pt idx="40">
                        <c:v>37</c:v>
                      </c:pt>
                      <c:pt idx="41">
                        <c:v>36.2</c:v>
                      </c:pt>
                      <c:pt idx="42">
                        <c:v>35.5</c:v>
                      </c:pt>
                      <c:pt idx="43">
                        <c:v>35.8</c:v>
                      </c:pt>
                      <c:pt idx="44">
                        <c:v>36.5</c:v>
                      </c:pt>
                      <c:pt idx="45">
                        <c:v>37.5</c:v>
                      </c:pt>
                      <c:pt idx="46">
                        <c:v>38.2</c:v>
                      </c:pt>
                      <c:pt idx="47">
                        <c:v>39</c:v>
                      </c:pt>
                      <c:pt idx="48">
                        <c:v>37.5</c:v>
                      </c:pt>
                      <c:pt idx="49">
                        <c:v>37.8</c:v>
                      </c:pt>
                      <c:pt idx="50">
                        <c:v>37</c:v>
                      </c:pt>
                      <c:pt idx="51">
                        <c:v>36.2</c:v>
                      </c:pt>
                      <c:pt idx="52">
                        <c:v>35</c:v>
                      </c:pt>
                      <c:pt idx="53">
                        <c:v>34.2</c:v>
                      </c:pt>
                      <c:pt idx="54">
                        <c:v>33.5</c:v>
                      </c:pt>
                      <c:pt idx="55">
                        <c:v>33.8</c:v>
                      </c:pt>
                      <c:pt idx="56">
                        <c:v>34.5</c:v>
                      </c:pt>
                      <c:pt idx="57">
                        <c:v>35.5</c:v>
                      </c:pt>
                      <c:pt idx="58">
                        <c:v>36.2</c:v>
                      </c:pt>
                      <c:pt idx="59">
                        <c:v>37</c:v>
                      </c:pt>
                      <c:pt idx="60">
                        <c:v>38.8</c:v>
                      </c:pt>
                      <c:pt idx="61">
                        <c:v>39</c:v>
                      </c:pt>
                      <c:pt idx="62">
                        <c:v>38.2</c:v>
                      </c:pt>
                      <c:pt idx="63">
                        <c:v>37.5</c:v>
                      </c:pt>
                      <c:pt idx="64">
                        <c:v>36.8</c:v>
                      </c:pt>
                      <c:pt idx="65">
                        <c:v>35.5</c:v>
                      </c:pt>
                      <c:pt idx="66">
                        <c:v>34.8</c:v>
                      </c:pt>
                      <c:pt idx="67">
                        <c:v>35.2</c:v>
                      </c:pt>
                      <c:pt idx="68">
                        <c:v>36</c:v>
                      </c:pt>
                      <c:pt idx="69">
                        <c:v>37.2</c:v>
                      </c:pt>
                      <c:pt idx="70">
                        <c:v>37.8</c:v>
                      </c:pt>
                      <c:pt idx="71">
                        <c:v>38.5</c:v>
                      </c:pt>
                      <c:pt idx="72">
                        <c:v>37.2</c:v>
                      </c:pt>
                      <c:pt idx="73">
                        <c:v>37.5</c:v>
                      </c:pt>
                      <c:pt idx="74">
                        <c:v>36.8</c:v>
                      </c:pt>
                      <c:pt idx="75">
                        <c:v>36</c:v>
                      </c:pt>
                      <c:pt idx="76">
                        <c:v>34.8</c:v>
                      </c:pt>
                      <c:pt idx="77">
                        <c:v>34</c:v>
                      </c:pt>
                      <c:pt idx="78">
                        <c:v>33.2</c:v>
                      </c:pt>
                      <c:pt idx="79">
                        <c:v>33.6</c:v>
                      </c:pt>
                      <c:pt idx="80">
                        <c:v>34.2</c:v>
                      </c:pt>
                      <c:pt idx="81">
                        <c:v>35.2</c:v>
                      </c:pt>
                      <c:pt idx="82">
                        <c:v>35.8</c:v>
                      </c:pt>
                      <c:pt idx="83">
                        <c:v>36.5</c:v>
                      </c:pt>
                      <c:pt idx="84">
                        <c:v>35.8</c:v>
                      </c:pt>
                      <c:pt idx="85">
                        <c:v>36</c:v>
                      </c:pt>
                      <c:pt idx="86">
                        <c:v>35.2</c:v>
                      </c:pt>
                      <c:pt idx="87">
                        <c:v>34.5</c:v>
                      </c:pt>
                      <c:pt idx="88">
                        <c:v>33.2</c:v>
                      </c:pt>
                      <c:pt idx="89">
                        <c:v>32.2</c:v>
                      </c:pt>
                      <c:pt idx="90">
                        <c:v>31.5</c:v>
                      </c:pt>
                      <c:pt idx="91">
                        <c:v>31.8</c:v>
                      </c:pt>
                      <c:pt idx="92">
                        <c:v>32.5</c:v>
                      </c:pt>
                      <c:pt idx="93">
                        <c:v>33.5</c:v>
                      </c:pt>
                      <c:pt idx="94">
                        <c:v>34.2</c:v>
                      </c:pt>
                      <c:pt idx="95">
                        <c:v>35</c:v>
                      </c:pt>
                      <c:pt idx="96">
                        <c:v>36.8</c:v>
                      </c:pt>
                      <c:pt idx="97">
                        <c:v>37</c:v>
                      </c:pt>
                      <c:pt idx="98">
                        <c:v>36.5</c:v>
                      </c:pt>
                      <c:pt idx="99">
                        <c:v>35.8</c:v>
                      </c:pt>
                      <c:pt idx="100">
                        <c:v>34.5</c:v>
                      </c:pt>
                      <c:pt idx="101">
                        <c:v>33.8</c:v>
                      </c:pt>
                      <c:pt idx="102">
                        <c:v>33</c:v>
                      </c:pt>
                      <c:pt idx="103">
                        <c:v>33.4</c:v>
                      </c:pt>
                      <c:pt idx="104">
                        <c:v>34.2</c:v>
                      </c:pt>
                      <c:pt idx="105">
                        <c:v>35</c:v>
                      </c:pt>
                      <c:pt idx="106">
                        <c:v>35.8</c:v>
                      </c:pt>
                      <c:pt idx="107">
                        <c:v>36.5</c:v>
                      </c:pt>
                      <c:pt idx="108">
                        <c:v>38.5</c:v>
                      </c:pt>
                      <c:pt idx="109">
                        <c:v>38.8</c:v>
                      </c:pt>
                      <c:pt idx="110">
                        <c:v>38.2</c:v>
                      </c:pt>
                      <c:pt idx="111">
                        <c:v>37.5</c:v>
                      </c:pt>
                      <c:pt idx="112">
                        <c:v>36.5</c:v>
                      </c:pt>
                      <c:pt idx="113">
                        <c:v>35.8</c:v>
                      </c:pt>
                      <c:pt idx="114">
                        <c:v>35.2</c:v>
                      </c:pt>
                      <c:pt idx="115">
                        <c:v>35.5</c:v>
                      </c:pt>
                      <c:pt idx="116">
                        <c:v>36.2</c:v>
                      </c:pt>
                      <c:pt idx="117">
                        <c:v>37.5</c:v>
                      </c:pt>
                      <c:pt idx="118">
                        <c:v>38.2</c:v>
                      </c:pt>
                      <c:pt idx="119">
                        <c:v>39.2</c:v>
                      </c:pt>
                      <c:pt idx="120">
                        <c:v>41.2</c:v>
                      </c:pt>
                      <c:pt idx="121">
                        <c:v>41.5</c:v>
                      </c:pt>
                      <c:pt idx="122">
                        <c:v>40.8</c:v>
                      </c:pt>
                      <c:pt idx="123">
                        <c:v>40.2</c:v>
                      </c:pt>
                      <c:pt idx="124">
                        <c:v>39</c:v>
                      </c:pt>
                      <c:pt idx="125">
                        <c:v>38.2</c:v>
                      </c:pt>
                      <c:pt idx="126">
                        <c:v>37.5</c:v>
                      </c:pt>
                      <c:pt idx="127">
                        <c:v>37.8</c:v>
                      </c:pt>
                      <c:pt idx="128">
                        <c:v>38.5</c:v>
                      </c:pt>
                      <c:pt idx="129">
                        <c:v>39.5</c:v>
                      </c:pt>
                      <c:pt idx="130">
                        <c:v>40.2</c:v>
                      </c:pt>
                      <c:pt idx="131">
                        <c:v>41</c:v>
                      </c:pt>
                      <c:pt idx="132">
                        <c:v>42.8</c:v>
                      </c:pt>
                      <c:pt idx="133">
                        <c:v>43.2</c:v>
                      </c:pt>
                      <c:pt idx="134">
                        <c:v>42.5</c:v>
                      </c:pt>
                      <c:pt idx="135">
                        <c:v>41.8</c:v>
                      </c:pt>
                      <c:pt idx="136">
                        <c:v>41</c:v>
                      </c:pt>
                      <c:pt idx="137">
                        <c:v>40.2</c:v>
                      </c:pt>
                      <c:pt idx="138">
                        <c:v>39.5</c:v>
                      </c:pt>
                      <c:pt idx="139">
                        <c:v>39.8</c:v>
                      </c:pt>
                      <c:pt idx="140">
                        <c:v>40.5</c:v>
                      </c:pt>
                      <c:pt idx="141">
                        <c:v>41.5</c:v>
                      </c:pt>
                      <c:pt idx="142">
                        <c:v>42.2</c:v>
                      </c:pt>
                      <c:pt idx="143">
                        <c:v>43</c:v>
                      </c:pt>
                      <c:pt idx="144">
                        <c:v>44.5</c:v>
                      </c:pt>
                      <c:pt idx="145">
                        <c:v>44.8</c:v>
                      </c:pt>
                      <c:pt idx="146">
                        <c:v>44</c:v>
                      </c:pt>
                      <c:pt idx="147">
                        <c:v>43.5</c:v>
                      </c:pt>
                      <c:pt idx="148">
                        <c:v>42.2</c:v>
                      </c:pt>
                      <c:pt idx="149">
                        <c:v>41.2</c:v>
                      </c:pt>
                      <c:pt idx="150">
                        <c:v>40.5</c:v>
                      </c:pt>
                      <c:pt idx="151">
                        <c:v>40.8</c:v>
                      </c:pt>
                      <c:pt idx="152">
                        <c:v>41.5</c:v>
                      </c:pt>
                      <c:pt idx="153">
                        <c:v>42.8</c:v>
                      </c:pt>
                      <c:pt idx="154">
                        <c:v>43.5</c:v>
                      </c:pt>
                      <c:pt idx="155">
                        <c:v>44.2</c:v>
                      </c:pt>
                      <c:pt idx="156">
                        <c:v>46.2</c:v>
                      </c:pt>
                      <c:pt idx="157">
                        <c:v>46.5</c:v>
                      </c:pt>
                      <c:pt idx="158">
                        <c:v>45.8</c:v>
                      </c:pt>
                      <c:pt idx="159">
                        <c:v>45.2</c:v>
                      </c:pt>
                      <c:pt idx="160">
                        <c:v>43.8</c:v>
                      </c:pt>
                      <c:pt idx="161">
                        <c:v>42.5</c:v>
                      </c:pt>
                      <c:pt idx="162">
                        <c:v>41.8</c:v>
                      </c:pt>
                      <c:pt idx="163">
                        <c:v>42.2</c:v>
                      </c:pt>
                      <c:pt idx="164">
                        <c:v>43</c:v>
                      </c:pt>
                      <c:pt idx="165">
                        <c:v>44.5</c:v>
                      </c:pt>
                      <c:pt idx="166">
                        <c:v>45.8</c:v>
                      </c:pt>
                      <c:pt idx="167">
                        <c:v>47</c:v>
                      </c:pt>
                      <c:pt idx="168">
                        <c:v>47.5</c:v>
                      </c:pt>
                      <c:pt idx="169">
                        <c:v>47.8</c:v>
                      </c:pt>
                      <c:pt idx="170">
                        <c:v>47</c:v>
                      </c:pt>
                      <c:pt idx="171">
                        <c:v>46.2</c:v>
                      </c:pt>
                      <c:pt idx="172">
                        <c:v>44.5</c:v>
                      </c:pt>
                      <c:pt idx="173">
                        <c:v>43.2</c:v>
                      </c:pt>
                      <c:pt idx="174">
                        <c:v>42.5</c:v>
                      </c:pt>
                      <c:pt idx="175">
                        <c:v>43</c:v>
                      </c:pt>
                      <c:pt idx="176">
                        <c:v>44.2</c:v>
                      </c:pt>
                      <c:pt idx="177">
                        <c:v>45.8</c:v>
                      </c:pt>
                      <c:pt idx="178">
                        <c:v>46.5</c:v>
                      </c:pt>
                      <c:pt idx="179">
                        <c:v>47.2</c:v>
                      </c:pt>
                      <c:pt idx="180">
                        <c:v>39.5</c:v>
                      </c:pt>
                      <c:pt idx="181">
                        <c:v>38.8</c:v>
                      </c:pt>
                      <c:pt idx="182">
                        <c:v>37.5</c:v>
                      </c:pt>
                      <c:pt idx="183">
                        <c:v>36.2</c:v>
                      </c:pt>
                      <c:pt idx="184">
                        <c:v>35</c:v>
                      </c:pt>
                      <c:pt idx="185">
                        <c:v>34.2</c:v>
                      </c:pt>
                      <c:pt idx="186">
                        <c:v>33.5</c:v>
                      </c:pt>
                      <c:pt idx="187">
                        <c:v>33.8</c:v>
                      </c:pt>
                      <c:pt idx="188">
                        <c:v>34.8</c:v>
                      </c:pt>
                      <c:pt idx="189">
                        <c:v>36.2</c:v>
                      </c:pt>
                      <c:pt idx="190">
                        <c:v>37.5</c:v>
                      </c:pt>
                      <c:pt idx="191">
                        <c:v>38.2</c:v>
                      </c:pt>
                      <c:pt idx="192">
                        <c:v>41</c:v>
                      </c:pt>
                      <c:pt idx="193">
                        <c:v>41.2</c:v>
                      </c:pt>
                      <c:pt idx="194">
                        <c:v>40.5</c:v>
                      </c:pt>
                      <c:pt idx="195">
                        <c:v>39.2</c:v>
                      </c:pt>
                      <c:pt idx="196">
                        <c:v>37.8</c:v>
                      </c:pt>
                      <c:pt idx="197">
                        <c:v>36.5</c:v>
                      </c:pt>
                      <c:pt idx="198">
                        <c:v>35.8</c:v>
                      </c:pt>
                      <c:pt idx="199">
                        <c:v>36.2</c:v>
                      </c:pt>
                      <c:pt idx="200">
                        <c:v>37.5</c:v>
                      </c:pt>
                      <c:pt idx="201">
                        <c:v>38.8</c:v>
                      </c:pt>
                      <c:pt idx="202">
                        <c:v>39.8</c:v>
                      </c:pt>
                      <c:pt idx="203">
                        <c:v>41.5</c:v>
                      </c:pt>
                      <c:pt idx="204">
                        <c:v>42.5</c:v>
                      </c:pt>
                      <c:pt idx="205">
                        <c:v>42.8</c:v>
                      </c:pt>
                      <c:pt idx="206">
                        <c:v>42</c:v>
                      </c:pt>
                      <c:pt idx="207">
                        <c:v>41.2</c:v>
                      </c:pt>
                      <c:pt idx="208">
                        <c:v>39.8</c:v>
                      </c:pt>
                      <c:pt idx="209">
                        <c:v>38.5</c:v>
                      </c:pt>
                      <c:pt idx="210">
                        <c:v>37.8</c:v>
                      </c:pt>
                      <c:pt idx="211">
                        <c:v>38.2</c:v>
                      </c:pt>
                      <c:pt idx="212">
                        <c:v>39.5</c:v>
                      </c:pt>
                      <c:pt idx="213">
                        <c:v>40.8</c:v>
                      </c:pt>
                      <c:pt idx="214">
                        <c:v>41.5</c:v>
                      </c:pt>
                      <c:pt idx="215">
                        <c:v>42.5</c:v>
                      </c:pt>
                      <c:pt idx="216">
                        <c:v>43.8</c:v>
                      </c:pt>
                      <c:pt idx="217">
                        <c:v>44</c:v>
                      </c:pt>
                      <c:pt idx="218">
                        <c:v>43.2</c:v>
                      </c:pt>
                      <c:pt idx="219">
                        <c:v>42.5</c:v>
                      </c:pt>
                      <c:pt idx="220">
                        <c:v>41.2</c:v>
                      </c:pt>
                      <c:pt idx="221">
                        <c:v>39.8</c:v>
                      </c:pt>
                      <c:pt idx="222">
                        <c:v>39.2</c:v>
                      </c:pt>
                      <c:pt idx="223">
                        <c:v>39.5</c:v>
                      </c:pt>
                      <c:pt idx="224">
                        <c:v>40.8</c:v>
                      </c:pt>
                      <c:pt idx="225">
                        <c:v>42.2</c:v>
                      </c:pt>
                      <c:pt idx="226">
                        <c:v>43.5</c:v>
                      </c:pt>
                      <c:pt idx="227">
                        <c:v>44.8</c:v>
                      </c:pt>
                      <c:pt idx="228">
                        <c:v>45.5</c:v>
                      </c:pt>
                      <c:pt idx="229">
                        <c:v>45.8</c:v>
                      </c:pt>
                      <c:pt idx="230">
                        <c:v>45.2</c:v>
                      </c:pt>
                      <c:pt idx="231">
                        <c:v>44.5</c:v>
                      </c:pt>
                      <c:pt idx="232">
                        <c:v>43</c:v>
                      </c:pt>
                      <c:pt idx="233">
                        <c:v>42.2</c:v>
                      </c:pt>
                      <c:pt idx="234">
                        <c:v>41.5</c:v>
                      </c:pt>
                      <c:pt idx="235">
                        <c:v>41.8</c:v>
                      </c:pt>
                      <c:pt idx="236">
                        <c:v>43</c:v>
                      </c:pt>
                      <c:pt idx="237">
                        <c:v>44.5</c:v>
                      </c:pt>
                      <c:pt idx="238">
                        <c:v>45.8</c:v>
                      </c:pt>
                      <c:pt idx="239">
                        <c:v>46.8</c:v>
                      </c:pt>
                      <c:pt idx="240">
                        <c:v>47.8</c:v>
                      </c:pt>
                      <c:pt idx="241">
                        <c:v>48.2</c:v>
                      </c:pt>
                      <c:pt idx="242">
                        <c:v>47.5</c:v>
                      </c:pt>
                      <c:pt idx="243">
                        <c:v>46.8</c:v>
                      </c:pt>
                      <c:pt idx="244">
                        <c:v>45.5</c:v>
                      </c:pt>
                      <c:pt idx="245">
                        <c:v>44.2</c:v>
                      </c:pt>
                      <c:pt idx="246">
                        <c:v>43.5</c:v>
                      </c:pt>
                      <c:pt idx="247">
                        <c:v>43.8</c:v>
                      </c:pt>
                      <c:pt idx="248">
                        <c:v>45</c:v>
                      </c:pt>
                      <c:pt idx="249">
                        <c:v>46.5</c:v>
                      </c:pt>
                      <c:pt idx="250">
                        <c:v>47.8</c:v>
                      </c:pt>
                      <c:pt idx="251">
                        <c:v>48.5</c:v>
                      </c:pt>
                      <c:pt idx="252">
                        <c:v>49.2</c:v>
                      </c:pt>
                      <c:pt idx="253">
                        <c:v>49.5</c:v>
                      </c:pt>
                      <c:pt idx="254">
                        <c:v>48.8</c:v>
                      </c:pt>
                      <c:pt idx="255">
                        <c:v>48.2</c:v>
                      </c:pt>
                      <c:pt idx="256">
                        <c:v>46.8</c:v>
                      </c:pt>
                      <c:pt idx="257">
                        <c:v>45.5</c:v>
                      </c:pt>
                      <c:pt idx="258">
                        <c:v>44.8</c:v>
                      </c:pt>
                      <c:pt idx="259">
                        <c:v>45.2</c:v>
                      </c:pt>
                      <c:pt idx="260">
                        <c:v>46.5</c:v>
                      </c:pt>
                      <c:pt idx="261">
                        <c:v>48</c:v>
                      </c:pt>
                      <c:pt idx="262">
                        <c:v>49.5</c:v>
                      </c:pt>
                      <c:pt idx="263">
                        <c:v>50.2</c:v>
                      </c:pt>
                      <c:pt idx="264">
                        <c:v>50.8</c:v>
                      </c:pt>
                      <c:pt idx="265">
                        <c:v>51.2</c:v>
                      </c:pt>
                      <c:pt idx="266">
                        <c:v>50.5</c:v>
                      </c:pt>
                      <c:pt idx="267">
                        <c:v>49.8</c:v>
                      </c:pt>
                      <c:pt idx="268">
                        <c:v>48.5</c:v>
                      </c:pt>
                      <c:pt idx="269">
                        <c:v>47.2</c:v>
                      </c:pt>
                      <c:pt idx="270">
                        <c:v>46.5</c:v>
                      </c:pt>
                      <c:pt idx="271">
                        <c:v>47</c:v>
                      </c:pt>
                      <c:pt idx="272">
                        <c:v>48.5</c:v>
                      </c:pt>
                      <c:pt idx="273">
                        <c:v>50.2</c:v>
                      </c:pt>
                      <c:pt idx="274">
                        <c:v>51.5</c:v>
                      </c:pt>
                      <c:pt idx="275">
                        <c:v>52.5</c:v>
                      </c:pt>
                      <c:pt idx="276">
                        <c:v>53.8</c:v>
                      </c:pt>
                      <c:pt idx="277">
                        <c:v>54.2</c:v>
                      </c:pt>
                      <c:pt idx="278">
                        <c:v>53.5</c:v>
                      </c:pt>
                      <c:pt idx="279">
                        <c:v>52.8</c:v>
                      </c:pt>
                      <c:pt idx="280">
                        <c:v>51.2</c:v>
                      </c:pt>
                      <c:pt idx="281">
                        <c:v>49.8</c:v>
                      </c:pt>
                      <c:pt idx="282">
                        <c:v>49.2</c:v>
                      </c:pt>
                      <c:pt idx="283">
                        <c:v>49.5</c:v>
                      </c:pt>
                      <c:pt idx="284">
                        <c:v>51</c:v>
                      </c:pt>
                      <c:pt idx="285">
                        <c:v>52.8</c:v>
                      </c:pt>
                      <c:pt idx="286">
                        <c:v>54.5</c:v>
                      </c:pt>
                      <c:pt idx="287">
                        <c:v>55.8</c:v>
                      </c:pt>
                      <c:pt idx="288">
                        <c:v>55.2</c:v>
                      </c:pt>
                      <c:pt idx="289">
                        <c:v>55</c:v>
                      </c:pt>
                      <c:pt idx="290">
                        <c:v>54.2</c:v>
                      </c:pt>
                      <c:pt idx="291">
                        <c:v>53.5</c:v>
                      </c:pt>
                      <c:pt idx="292">
                        <c:v>51.8</c:v>
                      </c:pt>
                      <c:pt idx="293">
                        <c:v>50.5</c:v>
                      </c:pt>
                      <c:pt idx="294">
                        <c:v>49.8</c:v>
                      </c:pt>
                      <c:pt idx="295">
                        <c:v>50.2</c:v>
                      </c:pt>
                      <c:pt idx="296">
                        <c:v>51.5</c:v>
                      </c:pt>
                      <c:pt idx="297">
                        <c:v>53.2</c:v>
                      </c:pt>
                      <c:pt idx="298">
                        <c:v>54.8</c:v>
                      </c:pt>
                      <c:pt idx="299">
                        <c:v>55.5</c:v>
                      </c:pt>
                    </c:numCache>
                  </c:numRef>
                </c:val>
                <c:smooth val="1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分析!$A$10</c15:sqref>
                        </c15:formulaRef>
                      </c:ext>
                    </c:extLst>
                    <c:strCache>
                      <c:ptCount val="1"/>
                      <c:pt idx="0">
                        <c:v>南极点大气层厚度除以10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微软雅黑" panose="020B0503020204020204" charset="-122"/>
                          <a:ea typeface="微软雅黑" panose="020B0503020204020204" charset="-122"/>
                          <a:cs typeface="微软雅黑" panose="020B0503020204020204" charset="-122"/>
                          <a:sym typeface="微软雅黑" panose="020B0503020204020204" charset="-122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分析!$B$1:$KO$1</c15:sqref>
                        </c15:formulaRef>
                      </c:ext>
                    </c:extLst>
                    <c:strCache>
                      <c:ptCount val="300"/>
                      <c:pt idx="0">
                        <c:v>2001/1/1</c:v>
                      </c:pt>
                      <c:pt idx="1">
                        <c:v>2001/2/1</c:v>
                      </c:pt>
                      <c:pt idx="2">
                        <c:v>2001/3/1</c:v>
                      </c:pt>
                      <c:pt idx="3">
                        <c:v>2001/4/1</c:v>
                      </c:pt>
                      <c:pt idx="4">
                        <c:v>2001/5/1</c:v>
                      </c:pt>
                      <c:pt idx="5">
                        <c:v>2001/6/1</c:v>
                      </c:pt>
                      <c:pt idx="6">
                        <c:v>2001/7/1</c:v>
                      </c:pt>
                      <c:pt idx="7">
                        <c:v>2001/8/1</c:v>
                      </c:pt>
                      <c:pt idx="8">
                        <c:v>2001/9/1</c:v>
                      </c:pt>
                      <c:pt idx="9">
                        <c:v>2001/10/1</c:v>
                      </c:pt>
                      <c:pt idx="10">
                        <c:v>2001/11/1</c:v>
                      </c:pt>
                      <c:pt idx="11">
                        <c:v>2001/12/1</c:v>
                      </c:pt>
                      <c:pt idx="12">
                        <c:v>2002/1/1</c:v>
                      </c:pt>
                      <c:pt idx="13">
                        <c:v>2002/2/1</c:v>
                      </c:pt>
                      <c:pt idx="14">
                        <c:v>2002/3/1</c:v>
                      </c:pt>
                      <c:pt idx="15">
                        <c:v>2002/4/1</c:v>
                      </c:pt>
                      <c:pt idx="16">
                        <c:v>2002/5/1</c:v>
                      </c:pt>
                      <c:pt idx="17">
                        <c:v>2002/6/1</c:v>
                      </c:pt>
                      <c:pt idx="18">
                        <c:v>2002/7/1</c:v>
                      </c:pt>
                      <c:pt idx="19">
                        <c:v>2002/8/1</c:v>
                      </c:pt>
                      <c:pt idx="20">
                        <c:v>2002/9/1</c:v>
                      </c:pt>
                      <c:pt idx="21">
                        <c:v>2002/10/1</c:v>
                      </c:pt>
                      <c:pt idx="22">
                        <c:v>2002/11/1</c:v>
                      </c:pt>
                      <c:pt idx="23">
                        <c:v>2002/12/1</c:v>
                      </c:pt>
                      <c:pt idx="24">
                        <c:v>2003/1/1</c:v>
                      </c:pt>
                      <c:pt idx="25">
                        <c:v>2003/2/1</c:v>
                      </c:pt>
                      <c:pt idx="26">
                        <c:v>2003/3/1</c:v>
                      </c:pt>
                      <c:pt idx="27">
                        <c:v>2003/4/1</c:v>
                      </c:pt>
                      <c:pt idx="28">
                        <c:v>2003/5/1</c:v>
                      </c:pt>
                      <c:pt idx="29">
                        <c:v>2003/6/1</c:v>
                      </c:pt>
                      <c:pt idx="30">
                        <c:v>2003/7/1</c:v>
                      </c:pt>
                      <c:pt idx="31">
                        <c:v>2003/8/1</c:v>
                      </c:pt>
                      <c:pt idx="32">
                        <c:v>2003/9/1</c:v>
                      </c:pt>
                      <c:pt idx="33">
                        <c:v>2003/10/1</c:v>
                      </c:pt>
                      <c:pt idx="34">
                        <c:v>2003/11/1</c:v>
                      </c:pt>
                      <c:pt idx="35">
                        <c:v>2003/12/1</c:v>
                      </c:pt>
                      <c:pt idx="36">
                        <c:v>2004/1/1</c:v>
                      </c:pt>
                      <c:pt idx="37">
                        <c:v>2004/2/1</c:v>
                      </c:pt>
                      <c:pt idx="38">
                        <c:v>2004/3/1</c:v>
                      </c:pt>
                      <c:pt idx="39">
                        <c:v>2004/4/1</c:v>
                      </c:pt>
                      <c:pt idx="40">
                        <c:v>2004/5/1</c:v>
                      </c:pt>
                      <c:pt idx="41">
                        <c:v>2004/6/1</c:v>
                      </c:pt>
                      <c:pt idx="42">
                        <c:v>2004/7/1</c:v>
                      </c:pt>
                      <c:pt idx="43">
                        <c:v>2004/8/1</c:v>
                      </c:pt>
                      <c:pt idx="44">
                        <c:v>2004/9/1</c:v>
                      </c:pt>
                      <c:pt idx="45">
                        <c:v>2004/10/1</c:v>
                      </c:pt>
                      <c:pt idx="46">
                        <c:v>2004/11/1</c:v>
                      </c:pt>
                      <c:pt idx="47">
                        <c:v>2004/12/1</c:v>
                      </c:pt>
                      <c:pt idx="48">
                        <c:v>2005/1/1</c:v>
                      </c:pt>
                      <c:pt idx="49">
                        <c:v>2005/2/1</c:v>
                      </c:pt>
                      <c:pt idx="50">
                        <c:v>2005/3/1</c:v>
                      </c:pt>
                      <c:pt idx="51">
                        <c:v>2005/4/1</c:v>
                      </c:pt>
                      <c:pt idx="52">
                        <c:v>2005/5/1</c:v>
                      </c:pt>
                      <c:pt idx="53">
                        <c:v>2005/6/1</c:v>
                      </c:pt>
                      <c:pt idx="54">
                        <c:v>2005/7/1</c:v>
                      </c:pt>
                      <c:pt idx="55">
                        <c:v>2005/8/1</c:v>
                      </c:pt>
                      <c:pt idx="56">
                        <c:v>2005/9/1</c:v>
                      </c:pt>
                      <c:pt idx="57">
                        <c:v>2005/10/1</c:v>
                      </c:pt>
                      <c:pt idx="58">
                        <c:v>2005/11/1</c:v>
                      </c:pt>
                      <c:pt idx="59">
                        <c:v>2005/12/1</c:v>
                      </c:pt>
                      <c:pt idx="60">
                        <c:v>2006/1/1</c:v>
                      </c:pt>
                      <c:pt idx="61">
                        <c:v>2006/2/1</c:v>
                      </c:pt>
                      <c:pt idx="62">
                        <c:v>2006/3/1</c:v>
                      </c:pt>
                      <c:pt idx="63">
                        <c:v>2006/4/1</c:v>
                      </c:pt>
                      <c:pt idx="64">
                        <c:v>2006/5/1</c:v>
                      </c:pt>
                      <c:pt idx="65">
                        <c:v>2006/6/1</c:v>
                      </c:pt>
                      <c:pt idx="66">
                        <c:v>2006/7/1</c:v>
                      </c:pt>
                      <c:pt idx="67">
                        <c:v>2006/8/1</c:v>
                      </c:pt>
                      <c:pt idx="68">
                        <c:v>2006/9/1</c:v>
                      </c:pt>
                      <c:pt idx="69">
                        <c:v>2006/10/1</c:v>
                      </c:pt>
                      <c:pt idx="70">
                        <c:v>2006/11/1</c:v>
                      </c:pt>
                      <c:pt idx="71">
                        <c:v>2006/12/1</c:v>
                      </c:pt>
                      <c:pt idx="72">
                        <c:v>2007/1/1</c:v>
                      </c:pt>
                      <c:pt idx="73">
                        <c:v>2007/2/1</c:v>
                      </c:pt>
                      <c:pt idx="74">
                        <c:v>2007/3/1</c:v>
                      </c:pt>
                      <c:pt idx="75">
                        <c:v>2007/4/1</c:v>
                      </c:pt>
                      <c:pt idx="76">
                        <c:v>2007/5/1</c:v>
                      </c:pt>
                      <c:pt idx="77">
                        <c:v>2007/6/1</c:v>
                      </c:pt>
                      <c:pt idx="78">
                        <c:v>2007/7/1</c:v>
                      </c:pt>
                      <c:pt idx="79">
                        <c:v>2007/8/1</c:v>
                      </c:pt>
                      <c:pt idx="80">
                        <c:v>2007/9/1</c:v>
                      </c:pt>
                      <c:pt idx="81">
                        <c:v>2007/10/1</c:v>
                      </c:pt>
                      <c:pt idx="82">
                        <c:v>2007/11/1</c:v>
                      </c:pt>
                      <c:pt idx="83">
                        <c:v>2007/12/1</c:v>
                      </c:pt>
                      <c:pt idx="84">
                        <c:v>2008/1/1</c:v>
                      </c:pt>
                      <c:pt idx="85">
                        <c:v>2008/2/1</c:v>
                      </c:pt>
                      <c:pt idx="86">
                        <c:v>2008/3/1</c:v>
                      </c:pt>
                      <c:pt idx="87">
                        <c:v>2008/4/1</c:v>
                      </c:pt>
                      <c:pt idx="88">
                        <c:v>2008/5/1</c:v>
                      </c:pt>
                      <c:pt idx="89">
                        <c:v>2008/6/1</c:v>
                      </c:pt>
                      <c:pt idx="90">
                        <c:v>2008/7/1</c:v>
                      </c:pt>
                      <c:pt idx="91">
                        <c:v>2008/8/1</c:v>
                      </c:pt>
                      <c:pt idx="92">
                        <c:v>2008/9/1</c:v>
                      </c:pt>
                      <c:pt idx="93">
                        <c:v>2008/10/1</c:v>
                      </c:pt>
                      <c:pt idx="94">
                        <c:v>2008/11/1</c:v>
                      </c:pt>
                      <c:pt idx="95">
                        <c:v>2008/12/1</c:v>
                      </c:pt>
                      <c:pt idx="96">
                        <c:v>2009/1/1</c:v>
                      </c:pt>
                      <c:pt idx="97">
                        <c:v>2009/2/1</c:v>
                      </c:pt>
                      <c:pt idx="98">
                        <c:v>2009/3/1</c:v>
                      </c:pt>
                      <c:pt idx="99">
                        <c:v>2009/4/1</c:v>
                      </c:pt>
                      <c:pt idx="100">
                        <c:v>2009/5/1</c:v>
                      </c:pt>
                      <c:pt idx="101">
                        <c:v>2009/6/1</c:v>
                      </c:pt>
                      <c:pt idx="102">
                        <c:v>2009/7/1</c:v>
                      </c:pt>
                      <c:pt idx="103">
                        <c:v>2009/8/1</c:v>
                      </c:pt>
                      <c:pt idx="104">
                        <c:v>2009/9/1</c:v>
                      </c:pt>
                      <c:pt idx="105">
                        <c:v>2009/10/1</c:v>
                      </c:pt>
                      <c:pt idx="106">
                        <c:v>2009/11/1</c:v>
                      </c:pt>
                      <c:pt idx="107">
                        <c:v>2009/12/1</c:v>
                      </c:pt>
                      <c:pt idx="108">
                        <c:v>2010/1/1</c:v>
                      </c:pt>
                      <c:pt idx="109">
                        <c:v>2010/2/1</c:v>
                      </c:pt>
                      <c:pt idx="110">
                        <c:v>2010/3/1</c:v>
                      </c:pt>
                      <c:pt idx="111">
                        <c:v>2010/4/1</c:v>
                      </c:pt>
                      <c:pt idx="112">
                        <c:v>2010/5/1</c:v>
                      </c:pt>
                      <c:pt idx="113">
                        <c:v>2010/6/1</c:v>
                      </c:pt>
                      <c:pt idx="114">
                        <c:v>2010/7/1</c:v>
                      </c:pt>
                      <c:pt idx="115">
                        <c:v>2010/8/1</c:v>
                      </c:pt>
                      <c:pt idx="116">
                        <c:v>2010/9/1</c:v>
                      </c:pt>
                      <c:pt idx="117">
                        <c:v>2010/10/1</c:v>
                      </c:pt>
                      <c:pt idx="118">
                        <c:v>2010/11/1</c:v>
                      </c:pt>
                      <c:pt idx="119">
                        <c:v>2010/12/1</c:v>
                      </c:pt>
                      <c:pt idx="120">
                        <c:v>2011/1/1</c:v>
                      </c:pt>
                      <c:pt idx="121">
                        <c:v>2011/2/1</c:v>
                      </c:pt>
                      <c:pt idx="122">
                        <c:v>2011/3/1</c:v>
                      </c:pt>
                      <c:pt idx="123">
                        <c:v>2011/4/1</c:v>
                      </c:pt>
                      <c:pt idx="124">
                        <c:v>2011/5/1</c:v>
                      </c:pt>
                      <c:pt idx="125">
                        <c:v>2011/6/1</c:v>
                      </c:pt>
                      <c:pt idx="126">
                        <c:v>2011/7/1</c:v>
                      </c:pt>
                      <c:pt idx="127">
                        <c:v>2011/8/1</c:v>
                      </c:pt>
                      <c:pt idx="128">
                        <c:v>2011/9/1</c:v>
                      </c:pt>
                      <c:pt idx="129">
                        <c:v>2011/10/1</c:v>
                      </c:pt>
                      <c:pt idx="130">
                        <c:v>2011/11/1</c:v>
                      </c:pt>
                      <c:pt idx="131">
                        <c:v>2011/12/1</c:v>
                      </c:pt>
                      <c:pt idx="132">
                        <c:v>2012/1/1</c:v>
                      </c:pt>
                      <c:pt idx="133">
                        <c:v>2012/2/1</c:v>
                      </c:pt>
                      <c:pt idx="134">
                        <c:v>2012/3/1</c:v>
                      </c:pt>
                      <c:pt idx="135">
                        <c:v>2012/4/1</c:v>
                      </c:pt>
                      <c:pt idx="136">
                        <c:v>2012/5/1</c:v>
                      </c:pt>
                      <c:pt idx="137">
                        <c:v>2012/6/1</c:v>
                      </c:pt>
                      <c:pt idx="138">
                        <c:v>2012/7/1</c:v>
                      </c:pt>
                      <c:pt idx="139">
                        <c:v>2012/8/1</c:v>
                      </c:pt>
                      <c:pt idx="140">
                        <c:v>2012/9/1</c:v>
                      </c:pt>
                      <c:pt idx="141">
                        <c:v>2012/10/1</c:v>
                      </c:pt>
                      <c:pt idx="142">
                        <c:v>2012/11/1</c:v>
                      </c:pt>
                      <c:pt idx="143">
                        <c:v>2012/12/1</c:v>
                      </c:pt>
                      <c:pt idx="144">
                        <c:v>2013/1/1</c:v>
                      </c:pt>
                      <c:pt idx="145">
                        <c:v>2013/2/1</c:v>
                      </c:pt>
                      <c:pt idx="146">
                        <c:v>2013/3/1</c:v>
                      </c:pt>
                      <c:pt idx="147">
                        <c:v>2013/4/1</c:v>
                      </c:pt>
                      <c:pt idx="148">
                        <c:v>2013/5/1</c:v>
                      </c:pt>
                      <c:pt idx="149">
                        <c:v>2013/6/1</c:v>
                      </c:pt>
                      <c:pt idx="150">
                        <c:v>2013/7/1</c:v>
                      </c:pt>
                      <c:pt idx="151">
                        <c:v>2013/8/1</c:v>
                      </c:pt>
                      <c:pt idx="152">
                        <c:v>2013/9/1</c:v>
                      </c:pt>
                      <c:pt idx="153">
                        <c:v>2013/10/1</c:v>
                      </c:pt>
                      <c:pt idx="154">
                        <c:v>2013/11/1</c:v>
                      </c:pt>
                      <c:pt idx="155">
                        <c:v>2013/12/1</c:v>
                      </c:pt>
                      <c:pt idx="156">
                        <c:v>2014/1/1</c:v>
                      </c:pt>
                      <c:pt idx="157">
                        <c:v>2014/2/1</c:v>
                      </c:pt>
                      <c:pt idx="158">
                        <c:v>2014/3/1</c:v>
                      </c:pt>
                      <c:pt idx="159">
                        <c:v>2014/4/1</c:v>
                      </c:pt>
                      <c:pt idx="160">
                        <c:v>2014/5/1</c:v>
                      </c:pt>
                      <c:pt idx="161">
                        <c:v>2014/6/1</c:v>
                      </c:pt>
                      <c:pt idx="162">
                        <c:v>2014/7/1</c:v>
                      </c:pt>
                      <c:pt idx="163">
                        <c:v>2014/8/1</c:v>
                      </c:pt>
                      <c:pt idx="164">
                        <c:v>2014/9/1</c:v>
                      </c:pt>
                      <c:pt idx="165">
                        <c:v>2014/10/1</c:v>
                      </c:pt>
                      <c:pt idx="166">
                        <c:v>2014/11/1</c:v>
                      </c:pt>
                      <c:pt idx="167">
                        <c:v>2014/12/1</c:v>
                      </c:pt>
                      <c:pt idx="168">
                        <c:v>2015/1/1</c:v>
                      </c:pt>
                      <c:pt idx="169">
                        <c:v>2015/2/1</c:v>
                      </c:pt>
                      <c:pt idx="170">
                        <c:v>2015/3/1</c:v>
                      </c:pt>
                      <c:pt idx="171">
                        <c:v>2015/4/1</c:v>
                      </c:pt>
                      <c:pt idx="172">
                        <c:v>2015/5/1</c:v>
                      </c:pt>
                      <c:pt idx="173">
                        <c:v>2015/6/1</c:v>
                      </c:pt>
                      <c:pt idx="174">
                        <c:v>2015/7/1</c:v>
                      </c:pt>
                      <c:pt idx="175">
                        <c:v>2015/8/1</c:v>
                      </c:pt>
                      <c:pt idx="176">
                        <c:v>2015/9/1</c:v>
                      </c:pt>
                      <c:pt idx="177">
                        <c:v>2015/10/1</c:v>
                      </c:pt>
                      <c:pt idx="178">
                        <c:v>2015/11/1</c:v>
                      </c:pt>
                      <c:pt idx="179">
                        <c:v>2015/12/1</c:v>
                      </c:pt>
                      <c:pt idx="180">
                        <c:v>2016/1/1</c:v>
                      </c:pt>
                      <c:pt idx="181">
                        <c:v>2016/2/1</c:v>
                      </c:pt>
                      <c:pt idx="182">
                        <c:v>2016/3/1</c:v>
                      </c:pt>
                      <c:pt idx="183">
                        <c:v>2016/4/1</c:v>
                      </c:pt>
                      <c:pt idx="184">
                        <c:v>2016/5/1</c:v>
                      </c:pt>
                      <c:pt idx="185">
                        <c:v>2016/6/1</c:v>
                      </c:pt>
                      <c:pt idx="186">
                        <c:v>2016/7/1</c:v>
                      </c:pt>
                      <c:pt idx="187">
                        <c:v>2016/8/1</c:v>
                      </c:pt>
                      <c:pt idx="188">
                        <c:v>2016/9/1</c:v>
                      </c:pt>
                      <c:pt idx="189">
                        <c:v>2016/10/1</c:v>
                      </c:pt>
                      <c:pt idx="190">
                        <c:v>2016/11/1</c:v>
                      </c:pt>
                      <c:pt idx="191">
                        <c:v>2016/12/1</c:v>
                      </c:pt>
                      <c:pt idx="192">
                        <c:v>2017/1/1</c:v>
                      </c:pt>
                      <c:pt idx="193">
                        <c:v>2017/2/1</c:v>
                      </c:pt>
                      <c:pt idx="194">
                        <c:v>2017/3/1</c:v>
                      </c:pt>
                      <c:pt idx="195">
                        <c:v>2017/4/1</c:v>
                      </c:pt>
                      <c:pt idx="196">
                        <c:v>2017/5/1</c:v>
                      </c:pt>
                      <c:pt idx="197">
                        <c:v>2017/6/1</c:v>
                      </c:pt>
                      <c:pt idx="198">
                        <c:v>2017/7/1</c:v>
                      </c:pt>
                      <c:pt idx="199">
                        <c:v>2017/8/1</c:v>
                      </c:pt>
                      <c:pt idx="200">
                        <c:v>2017/9/1</c:v>
                      </c:pt>
                      <c:pt idx="201">
                        <c:v>2017/10/1</c:v>
                      </c:pt>
                      <c:pt idx="202">
                        <c:v>2017/11/1</c:v>
                      </c:pt>
                      <c:pt idx="203">
                        <c:v>2017/12/1</c:v>
                      </c:pt>
                      <c:pt idx="204">
                        <c:v>2018/1/1</c:v>
                      </c:pt>
                      <c:pt idx="205">
                        <c:v>2018/2/1</c:v>
                      </c:pt>
                      <c:pt idx="206">
                        <c:v>2018/3/1</c:v>
                      </c:pt>
                      <c:pt idx="207">
                        <c:v>2018/4/1</c:v>
                      </c:pt>
                      <c:pt idx="208">
                        <c:v>2018/5/1</c:v>
                      </c:pt>
                      <c:pt idx="209">
                        <c:v>2018/6/1</c:v>
                      </c:pt>
                      <c:pt idx="210">
                        <c:v>2018/7/1</c:v>
                      </c:pt>
                      <c:pt idx="211">
                        <c:v>2018/8/1</c:v>
                      </c:pt>
                      <c:pt idx="212">
                        <c:v>2018/9/1</c:v>
                      </c:pt>
                      <c:pt idx="213">
                        <c:v>2018/10/1</c:v>
                      </c:pt>
                      <c:pt idx="214">
                        <c:v>2018/11/1</c:v>
                      </c:pt>
                      <c:pt idx="215">
                        <c:v>2018/12/1</c:v>
                      </c:pt>
                      <c:pt idx="216">
                        <c:v>2019/1/1</c:v>
                      </c:pt>
                      <c:pt idx="217">
                        <c:v>2019/2/1</c:v>
                      </c:pt>
                      <c:pt idx="218">
                        <c:v>2019/3/1</c:v>
                      </c:pt>
                      <c:pt idx="219">
                        <c:v>2019/4/1</c:v>
                      </c:pt>
                      <c:pt idx="220">
                        <c:v>2019/5/1</c:v>
                      </c:pt>
                      <c:pt idx="221">
                        <c:v>2019/6/1</c:v>
                      </c:pt>
                      <c:pt idx="222">
                        <c:v>2019/7/1</c:v>
                      </c:pt>
                      <c:pt idx="223">
                        <c:v>2019/8/1</c:v>
                      </c:pt>
                      <c:pt idx="224">
                        <c:v>2019/9/1</c:v>
                      </c:pt>
                      <c:pt idx="225">
                        <c:v>2019/10/1</c:v>
                      </c:pt>
                      <c:pt idx="226">
                        <c:v>2019/11/1</c:v>
                      </c:pt>
                      <c:pt idx="227">
                        <c:v>2019/12/1</c:v>
                      </c:pt>
                      <c:pt idx="228">
                        <c:v>2020/1/1</c:v>
                      </c:pt>
                      <c:pt idx="229">
                        <c:v>2020/2/1</c:v>
                      </c:pt>
                      <c:pt idx="230">
                        <c:v>2020/3/1</c:v>
                      </c:pt>
                      <c:pt idx="231">
                        <c:v>2020/4/1</c:v>
                      </c:pt>
                      <c:pt idx="232">
                        <c:v>2020/5/1</c:v>
                      </c:pt>
                      <c:pt idx="233">
                        <c:v>2020/6/1</c:v>
                      </c:pt>
                      <c:pt idx="234">
                        <c:v>2020/7/1</c:v>
                      </c:pt>
                      <c:pt idx="235">
                        <c:v>2020/8/1</c:v>
                      </c:pt>
                      <c:pt idx="236">
                        <c:v>2020/9/1</c:v>
                      </c:pt>
                      <c:pt idx="237">
                        <c:v>2020/10/1</c:v>
                      </c:pt>
                      <c:pt idx="238">
                        <c:v>2020/11/1</c:v>
                      </c:pt>
                      <c:pt idx="239">
                        <c:v>2020/12/1</c:v>
                      </c:pt>
                      <c:pt idx="240">
                        <c:v>2021/1/1</c:v>
                      </c:pt>
                      <c:pt idx="241">
                        <c:v>2021/2/1</c:v>
                      </c:pt>
                      <c:pt idx="242">
                        <c:v>2021/3/1</c:v>
                      </c:pt>
                      <c:pt idx="243">
                        <c:v>2021/4/1</c:v>
                      </c:pt>
                      <c:pt idx="244">
                        <c:v>2021/5/1</c:v>
                      </c:pt>
                      <c:pt idx="245">
                        <c:v>2021/6/1</c:v>
                      </c:pt>
                      <c:pt idx="246">
                        <c:v>2021/7/1</c:v>
                      </c:pt>
                      <c:pt idx="247">
                        <c:v>2021/8/1</c:v>
                      </c:pt>
                      <c:pt idx="248">
                        <c:v>2021/9/1</c:v>
                      </c:pt>
                      <c:pt idx="249">
                        <c:v>2021/10/1</c:v>
                      </c:pt>
                      <c:pt idx="250">
                        <c:v>2021/11/1</c:v>
                      </c:pt>
                      <c:pt idx="251">
                        <c:v>2021/12/1</c:v>
                      </c:pt>
                      <c:pt idx="252">
                        <c:v>2022/1/1</c:v>
                      </c:pt>
                      <c:pt idx="253">
                        <c:v>2022/2/1</c:v>
                      </c:pt>
                      <c:pt idx="254">
                        <c:v>2022/3/1</c:v>
                      </c:pt>
                      <c:pt idx="255">
                        <c:v>2022/4/1</c:v>
                      </c:pt>
                      <c:pt idx="256">
                        <c:v>2022/5/1</c:v>
                      </c:pt>
                      <c:pt idx="257">
                        <c:v>2022/6/1</c:v>
                      </c:pt>
                      <c:pt idx="258">
                        <c:v>2022/7/1</c:v>
                      </c:pt>
                      <c:pt idx="259">
                        <c:v>2022/8/1</c:v>
                      </c:pt>
                      <c:pt idx="260">
                        <c:v>2022/9/1</c:v>
                      </c:pt>
                      <c:pt idx="261">
                        <c:v>2022/10/1</c:v>
                      </c:pt>
                      <c:pt idx="262">
                        <c:v>2022/11/1</c:v>
                      </c:pt>
                      <c:pt idx="263">
                        <c:v>2022/12/1</c:v>
                      </c:pt>
                      <c:pt idx="264">
                        <c:v>2023/1/1</c:v>
                      </c:pt>
                      <c:pt idx="265">
                        <c:v>2023/2/1</c:v>
                      </c:pt>
                      <c:pt idx="266">
                        <c:v>2023/3/1</c:v>
                      </c:pt>
                      <c:pt idx="267">
                        <c:v>2023/4/1</c:v>
                      </c:pt>
                      <c:pt idx="268">
                        <c:v>2023/5/1</c:v>
                      </c:pt>
                      <c:pt idx="269">
                        <c:v>2023/6/1</c:v>
                      </c:pt>
                      <c:pt idx="270">
                        <c:v>2023/7/1</c:v>
                      </c:pt>
                      <c:pt idx="271">
                        <c:v>2023/8/1</c:v>
                      </c:pt>
                      <c:pt idx="272">
                        <c:v>2023/9/1</c:v>
                      </c:pt>
                      <c:pt idx="273">
                        <c:v>2023/10/1</c:v>
                      </c:pt>
                      <c:pt idx="274">
                        <c:v>2023/11/1</c:v>
                      </c:pt>
                      <c:pt idx="275">
                        <c:v>2023/12/1</c:v>
                      </c:pt>
                      <c:pt idx="276">
                        <c:v>2024/1/1</c:v>
                      </c:pt>
                      <c:pt idx="277">
                        <c:v>2024/2/1</c:v>
                      </c:pt>
                      <c:pt idx="278">
                        <c:v>2024/3/1</c:v>
                      </c:pt>
                      <c:pt idx="279">
                        <c:v>2024/4/1</c:v>
                      </c:pt>
                      <c:pt idx="280">
                        <c:v>2024/5/1</c:v>
                      </c:pt>
                      <c:pt idx="281">
                        <c:v>2024/6/1</c:v>
                      </c:pt>
                      <c:pt idx="282">
                        <c:v>2024/7/1</c:v>
                      </c:pt>
                      <c:pt idx="283">
                        <c:v>2024/8/1</c:v>
                      </c:pt>
                      <c:pt idx="284">
                        <c:v>2024/9/1</c:v>
                      </c:pt>
                      <c:pt idx="285">
                        <c:v>2024/10/1</c:v>
                      </c:pt>
                      <c:pt idx="286">
                        <c:v>2024/11/1</c:v>
                      </c:pt>
                      <c:pt idx="287">
                        <c:v>2024/12/1</c:v>
                      </c:pt>
                      <c:pt idx="288">
                        <c:v>2025/1/1</c:v>
                      </c:pt>
                      <c:pt idx="289">
                        <c:v>2025/2/1</c:v>
                      </c:pt>
                      <c:pt idx="290">
                        <c:v>2025/3/1</c:v>
                      </c:pt>
                      <c:pt idx="291">
                        <c:v>2025/4/1</c:v>
                      </c:pt>
                      <c:pt idx="292">
                        <c:v>2025/5/1</c:v>
                      </c:pt>
                      <c:pt idx="293">
                        <c:v>2025/6/1</c:v>
                      </c:pt>
                      <c:pt idx="294">
                        <c:v>2025/7/1</c:v>
                      </c:pt>
                      <c:pt idx="295">
                        <c:v>2025/8/1</c:v>
                      </c:pt>
                      <c:pt idx="296">
                        <c:v>2025/9/1</c:v>
                      </c:pt>
                      <c:pt idx="297">
                        <c:v>2025/10/1</c:v>
                      </c:pt>
                      <c:pt idx="298">
                        <c:v>2025/11/1</c:v>
                      </c:pt>
                      <c:pt idx="299">
                        <c:v>2025/12/1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分析!$B$10:$KO$10</c15:sqref>
                        </c15:formulaRef>
                      </c:ext>
                    </c:extLst>
                    <c:numCache>
                      <c:formatCode>General</c:formatCode>
                      <c:ptCount val="300"/>
                      <c:pt idx="0">
                        <c:v>61.24</c:v>
                      </c:pt>
                      <c:pt idx="1">
                        <c:v>60.82</c:v>
                      </c:pt>
                      <c:pt idx="2">
                        <c:v>59.25</c:v>
                      </c:pt>
                      <c:pt idx="3">
                        <c:v>56.58</c:v>
                      </c:pt>
                      <c:pt idx="4">
                        <c:v>53.84</c:v>
                      </c:pt>
                      <c:pt idx="5">
                        <c:v>51.21</c:v>
                      </c:pt>
                      <c:pt idx="6">
                        <c:v>49.86</c:v>
                      </c:pt>
                      <c:pt idx="7">
                        <c:v>50.54</c:v>
                      </c:pt>
                      <c:pt idx="8">
                        <c:v>52.89</c:v>
                      </c:pt>
                      <c:pt idx="9">
                        <c:v>55.42</c:v>
                      </c:pt>
                      <c:pt idx="10">
                        <c:v>58.67</c:v>
                      </c:pt>
                      <c:pt idx="11">
                        <c:v>60.23</c:v>
                      </c:pt>
                      <c:pt idx="12">
                        <c:v>61.58</c:v>
                      </c:pt>
                      <c:pt idx="13">
                        <c:v>61.04</c:v>
                      </c:pt>
                      <c:pt idx="14">
                        <c:v>59.82</c:v>
                      </c:pt>
                      <c:pt idx="15">
                        <c:v>57.25</c:v>
                      </c:pt>
                      <c:pt idx="16">
                        <c:v>54.51</c:v>
                      </c:pt>
                      <c:pt idx="17">
                        <c:v>51.83</c:v>
                      </c:pt>
                      <c:pt idx="18">
                        <c:v>50.24</c:v>
                      </c:pt>
                      <c:pt idx="19">
                        <c:v>51.06</c:v>
                      </c:pt>
                      <c:pt idx="20">
                        <c:v>53.54</c:v>
                      </c:pt>
                      <c:pt idx="21">
                        <c:v>56.08</c:v>
                      </c:pt>
                      <c:pt idx="22">
                        <c:v>59.23</c:v>
                      </c:pt>
                      <c:pt idx="23">
                        <c:v>60.87</c:v>
                      </c:pt>
                      <c:pt idx="24">
                        <c:v>60.42</c:v>
                      </c:pt>
                      <c:pt idx="25">
                        <c:v>59.58</c:v>
                      </c:pt>
                      <c:pt idx="26">
                        <c:v>57.23</c:v>
                      </c:pt>
                      <c:pt idx="27">
                        <c:v>54.86</c:v>
                      </c:pt>
                      <c:pt idx="28">
                        <c:v>52.14</c:v>
                      </c:pt>
                      <c:pt idx="29">
                        <c:v>49.57</c:v>
                      </c:pt>
                      <c:pt idx="30">
                        <c:v>48.82</c:v>
                      </c:pt>
                      <c:pt idx="31">
                        <c:v>49.56</c:v>
                      </c:pt>
                      <c:pt idx="32">
                        <c:v>51.24</c:v>
                      </c:pt>
                      <c:pt idx="33">
                        <c:v>54.08</c:v>
                      </c:pt>
                      <c:pt idx="34">
                        <c:v>61.85</c:v>
                      </c:pt>
                      <c:pt idx="35">
                        <c:v>60.52</c:v>
                      </c:pt>
                      <c:pt idx="36">
                        <c:v>59.24</c:v>
                      </c:pt>
                      <c:pt idx="37">
                        <c:v>58.51</c:v>
                      </c:pt>
                      <c:pt idx="38">
                        <c:v>56.28</c:v>
                      </c:pt>
                      <c:pt idx="39">
                        <c:v>53.56</c:v>
                      </c:pt>
                      <c:pt idx="40">
                        <c:v>50.82</c:v>
                      </c:pt>
                      <c:pt idx="41">
                        <c:v>48.25</c:v>
                      </c:pt>
                      <c:pt idx="42">
                        <c:v>47.52</c:v>
                      </c:pt>
                      <c:pt idx="43">
                        <c:v>48.14</c:v>
                      </c:pt>
                      <c:pt idx="44">
                        <c:v>49.86</c:v>
                      </c:pt>
                      <c:pt idx="45">
                        <c:v>51.52</c:v>
                      </c:pt>
                      <c:pt idx="46">
                        <c:v>53.87</c:v>
                      </c:pt>
                      <c:pt idx="47">
                        <c:v>56.54</c:v>
                      </c:pt>
                      <c:pt idx="48">
                        <c:v>55.84</c:v>
                      </c:pt>
                      <c:pt idx="49">
                        <c:v>54.21</c:v>
                      </c:pt>
                      <c:pt idx="50">
                        <c:v>52.08</c:v>
                      </c:pt>
                      <c:pt idx="51">
                        <c:v>49.56</c:v>
                      </c:pt>
                      <c:pt idx="52">
                        <c:v>47.23</c:v>
                      </c:pt>
                      <c:pt idx="53">
                        <c:v>45.57</c:v>
                      </c:pt>
                      <c:pt idx="54">
                        <c:v>44.28</c:v>
                      </c:pt>
                      <c:pt idx="55">
                        <c:v>44.86</c:v>
                      </c:pt>
                      <c:pt idx="56">
                        <c:v>46.54</c:v>
                      </c:pt>
                      <c:pt idx="57">
                        <c:v>49.02</c:v>
                      </c:pt>
                      <c:pt idx="58">
                        <c:v>51.27</c:v>
                      </c:pt>
                      <c:pt idx="59">
                        <c:v>53.45</c:v>
                      </c:pt>
                      <c:pt idx="60">
                        <c:v>52.56</c:v>
                      </c:pt>
                      <c:pt idx="61">
                        <c:v>51.23</c:v>
                      </c:pt>
                      <c:pt idx="62">
                        <c:v>48.84</c:v>
                      </c:pt>
                      <c:pt idx="63">
                        <c:v>46.51</c:v>
                      </c:pt>
                      <c:pt idx="64">
                        <c:v>44.27</c:v>
                      </c:pt>
                      <c:pt idx="65">
                        <c:v>42.58</c:v>
                      </c:pt>
                      <c:pt idx="66">
                        <c:v>41.82</c:v>
                      </c:pt>
                      <c:pt idx="67">
                        <c:v>42.25</c:v>
                      </c:pt>
                      <c:pt idx="68">
                        <c:v>43.87</c:v>
                      </c:pt>
                      <c:pt idx="69">
                        <c:v>45.24</c:v>
                      </c:pt>
                      <c:pt idx="70">
                        <c:v>47.52</c:v>
                      </c:pt>
                      <c:pt idx="71">
                        <c:v>49.86</c:v>
                      </c:pt>
                      <c:pt idx="72">
                        <c:v>50.84</c:v>
                      </c:pt>
                      <c:pt idx="73">
                        <c:v>49.62</c:v>
                      </c:pt>
                      <c:pt idx="74">
                        <c:v>47.25</c:v>
                      </c:pt>
                      <c:pt idx="75">
                        <c:v>44.83</c:v>
                      </c:pt>
                      <c:pt idx="76">
                        <c:v>42.56</c:v>
                      </c:pt>
                      <c:pt idx="77">
                        <c:v>40.82</c:v>
                      </c:pt>
                      <c:pt idx="78">
                        <c:v>39.65</c:v>
                      </c:pt>
                      <c:pt idx="79">
                        <c:v>40.24</c:v>
                      </c:pt>
                      <c:pt idx="80">
                        <c:v>41.58</c:v>
                      </c:pt>
                      <c:pt idx="81">
                        <c:v>43.21</c:v>
                      </c:pt>
                      <c:pt idx="82">
                        <c:v>45.87</c:v>
                      </c:pt>
                      <c:pt idx="83">
                        <c:v>48.52</c:v>
                      </c:pt>
                      <c:pt idx="84">
                        <c:v>49.24</c:v>
                      </c:pt>
                      <c:pt idx="85">
                        <c:v>48.51</c:v>
                      </c:pt>
                      <c:pt idx="86">
                        <c:v>46.28</c:v>
                      </c:pt>
                      <c:pt idx="87">
                        <c:v>43.56</c:v>
                      </c:pt>
                      <c:pt idx="88">
                        <c:v>41.23</c:v>
                      </c:pt>
                      <c:pt idx="89">
                        <c:v>39.85</c:v>
                      </c:pt>
                      <c:pt idx="90">
                        <c:v>38.82</c:v>
                      </c:pt>
                      <c:pt idx="91">
                        <c:v>39.24</c:v>
                      </c:pt>
                      <c:pt idx="92">
                        <c:v>40.56</c:v>
                      </c:pt>
                      <c:pt idx="93">
                        <c:v>42.28</c:v>
                      </c:pt>
                      <c:pt idx="94">
                        <c:v>44.51</c:v>
                      </c:pt>
                      <c:pt idx="95">
                        <c:v>46.83</c:v>
                      </c:pt>
                      <c:pt idx="96">
                        <c:v>47.24</c:v>
                      </c:pt>
                      <c:pt idx="97">
                        <c:v>46.58</c:v>
                      </c:pt>
                      <c:pt idx="98">
                        <c:v>44.82</c:v>
                      </c:pt>
                      <c:pt idx="99">
                        <c:v>42.25</c:v>
                      </c:pt>
                      <c:pt idx="100">
                        <c:v>40.56</c:v>
                      </c:pt>
                      <c:pt idx="101">
                        <c:v>39.21</c:v>
                      </c:pt>
                      <c:pt idx="102">
                        <c:v>38.64</c:v>
                      </c:pt>
                      <c:pt idx="103">
                        <c:v>39.02</c:v>
                      </c:pt>
                      <c:pt idx="104">
                        <c:v>40.87</c:v>
                      </c:pt>
                      <c:pt idx="105">
                        <c:v>42.54</c:v>
                      </c:pt>
                      <c:pt idx="106">
                        <c:v>44.82</c:v>
                      </c:pt>
                      <c:pt idx="107">
                        <c:v>47.56</c:v>
                      </c:pt>
                      <c:pt idx="108">
                        <c:v>49.84</c:v>
                      </c:pt>
                      <c:pt idx="109">
                        <c:v>49.25</c:v>
                      </c:pt>
                      <c:pt idx="110">
                        <c:v>47.52</c:v>
                      </c:pt>
                      <c:pt idx="111">
                        <c:v>45.28</c:v>
                      </c:pt>
                      <c:pt idx="112">
                        <c:v>43.24</c:v>
                      </c:pt>
                      <c:pt idx="113">
                        <c:v>41.56</c:v>
                      </c:pt>
                      <c:pt idx="114">
                        <c:v>40.82</c:v>
                      </c:pt>
                      <c:pt idx="115">
                        <c:v>41.65</c:v>
                      </c:pt>
                      <c:pt idx="116">
                        <c:v>43.52</c:v>
                      </c:pt>
                      <c:pt idx="117">
                        <c:v>45.86</c:v>
                      </c:pt>
                      <c:pt idx="118">
                        <c:v>48.54</c:v>
                      </c:pt>
                      <c:pt idx="119">
                        <c:v>51.23</c:v>
                      </c:pt>
                      <c:pt idx="120">
                        <c:v>53.82</c:v>
                      </c:pt>
                      <c:pt idx="121">
                        <c:v>53.24</c:v>
                      </c:pt>
                      <c:pt idx="122">
                        <c:v>51.56</c:v>
                      </c:pt>
                      <c:pt idx="123">
                        <c:v>49.23</c:v>
                      </c:pt>
                      <c:pt idx="124">
                        <c:v>46.87</c:v>
                      </c:pt>
                      <c:pt idx="125">
                        <c:v>44.52</c:v>
                      </c:pt>
                      <c:pt idx="126">
                        <c:v>43.65</c:v>
                      </c:pt>
                      <c:pt idx="127">
                        <c:v>44.28</c:v>
                      </c:pt>
                      <c:pt idx="128">
                        <c:v>46.51</c:v>
                      </c:pt>
                      <c:pt idx="129">
                        <c:v>49.26</c:v>
                      </c:pt>
                      <c:pt idx="130">
                        <c:v>52.54</c:v>
                      </c:pt>
                      <c:pt idx="131">
                        <c:v>55.62</c:v>
                      </c:pt>
                      <c:pt idx="132">
                        <c:v>57.84</c:v>
                      </c:pt>
                      <c:pt idx="133">
                        <c:v>56.52</c:v>
                      </c:pt>
                      <c:pt idx="134">
                        <c:v>54.28</c:v>
                      </c:pt>
                      <c:pt idx="135">
                        <c:v>51.56</c:v>
                      </c:pt>
                      <c:pt idx="136">
                        <c:v>48.82</c:v>
                      </c:pt>
                      <c:pt idx="137">
                        <c:v>46.25</c:v>
                      </c:pt>
                      <c:pt idx="138">
                        <c:v>45.18</c:v>
                      </c:pt>
                      <c:pt idx="139">
                        <c:v>46.04</c:v>
                      </c:pt>
                      <c:pt idx="140">
                        <c:v>48.87</c:v>
                      </c:pt>
                      <c:pt idx="141">
                        <c:v>52.56</c:v>
                      </c:pt>
                      <c:pt idx="142">
                        <c:v>56.23</c:v>
                      </c:pt>
                      <c:pt idx="143">
                        <c:v>58.85</c:v>
                      </c:pt>
                      <c:pt idx="144">
                        <c:v>59.42</c:v>
                      </c:pt>
                      <c:pt idx="145">
                        <c:v>58.26</c:v>
                      </c:pt>
                      <c:pt idx="146">
                        <c:v>56.58</c:v>
                      </c:pt>
                      <c:pt idx="147">
                        <c:v>53.82</c:v>
                      </c:pt>
                      <c:pt idx="148">
                        <c:v>51.27</c:v>
                      </c:pt>
                      <c:pt idx="149">
                        <c:v>48.54</c:v>
                      </c:pt>
                      <c:pt idx="150">
                        <c:v>47.21</c:v>
                      </c:pt>
                      <c:pt idx="151">
                        <c:v>48.06</c:v>
                      </c:pt>
                      <c:pt idx="152">
                        <c:v>50.52</c:v>
                      </c:pt>
                      <c:pt idx="153">
                        <c:v>53.87</c:v>
                      </c:pt>
                      <c:pt idx="154">
                        <c:v>57.54</c:v>
                      </c:pt>
                      <c:pt idx="155">
                        <c:v>60.28</c:v>
                      </c:pt>
                      <c:pt idx="156">
                        <c:v>58.86</c:v>
                      </c:pt>
                      <c:pt idx="157">
                        <c:v>58.12</c:v>
                      </c:pt>
                      <c:pt idx="158">
                        <c:v>55.84</c:v>
                      </c:pt>
                      <c:pt idx="159">
                        <c:v>52.57</c:v>
                      </c:pt>
                      <c:pt idx="160">
                        <c:v>49.82</c:v>
                      </c:pt>
                      <c:pt idx="161">
                        <c:v>47.26</c:v>
                      </c:pt>
                      <c:pt idx="162">
                        <c:v>45.83</c:v>
                      </c:pt>
                      <c:pt idx="163">
                        <c:v>46.68</c:v>
                      </c:pt>
                      <c:pt idx="164">
                        <c:v>49.25</c:v>
                      </c:pt>
                      <c:pt idx="165">
                        <c:v>52.14</c:v>
                      </c:pt>
                      <c:pt idx="166">
                        <c:v>55.67</c:v>
                      </c:pt>
                      <c:pt idx="167">
                        <c:v>57.82</c:v>
                      </c:pt>
                      <c:pt idx="168">
                        <c:v>55.24</c:v>
                      </c:pt>
                      <c:pt idx="169">
                        <c:v>53.58</c:v>
                      </c:pt>
                      <c:pt idx="170">
                        <c:v>50.86</c:v>
                      </c:pt>
                      <c:pt idx="171">
                        <c:v>47.52</c:v>
                      </c:pt>
                      <c:pt idx="172">
                        <c:v>45.04</c:v>
                      </c:pt>
                      <c:pt idx="173">
                        <c:v>42.25</c:v>
                      </c:pt>
                      <c:pt idx="174">
                        <c:v>40.88</c:v>
                      </c:pt>
                      <c:pt idx="175">
                        <c:v>41.56</c:v>
                      </c:pt>
                      <c:pt idx="176">
                        <c:v>43.24</c:v>
                      </c:pt>
                      <c:pt idx="177">
                        <c:v>45.87</c:v>
                      </c:pt>
                      <c:pt idx="178">
                        <c:v>48.21</c:v>
                      </c:pt>
                      <c:pt idx="179">
                        <c:v>50.54</c:v>
                      </c:pt>
                      <c:pt idx="180">
                        <c:v>49.26</c:v>
                      </c:pt>
                      <c:pt idx="181">
                        <c:v>48.54</c:v>
                      </c:pt>
                      <c:pt idx="182">
                        <c:v>46.81</c:v>
                      </c:pt>
                      <c:pt idx="183">
                        <c:v>44.27</c:v>
                      </c:pt>
                      <c:pt idx="184">
                        <c:v>42.58</c:v>
                      </c:pt>
                      <c:pt idx="185">
                        <c:v>41.23</c:v>
                      </c:pt>
                      <c:pt idx="186">
                        <c:v>39.86</c:v>
                      </c:pt>
                      <c:pt idx="187">
                        <c:v>40.52</c:v>
                      </c:pt>
                      <c:pt idx="188">
                        <c:v>42.24</c:v>
                      </c:pt>
                      <c:pt idx="189">
                        <c:v>44.57</c:v>
                      </c:pt>
                      <c:pt idx="190">
                        <c:v>46.23</c:v>
                      </c:pt>
                      <c:pt idx="191">
                        <c:v>48.85</c:v>
                      </c:pt>
                      <c:pt idx="192">
                        <c:v>48.24</c:v>
                      </c:pt>
                      <c:pt idx="193">
                        <c:v>47.56</c:v>
                      </c:pt>
                      <c:pt idx="194">
                        <c:v>45.28</c:v>
                      </c:pt>
                      <c:pt idx="195">
                        <c:v>43.05</c:v>
                      </c:pt>
                      <c:pt idx="196">
                        <c:v>41.23</c:v>
                      </c:pt>
                      <c:pt idx="197">
                        <c:v>39.87</c:v>
                      </c:pt>
                      <c:pt idx="198">
                        <c:v>39.24</c:v>
                      </c:pt>
                      <c:pt idx="199">
                        <c:v>39.86</c:v>
                      </c:pt>
                      <c:pt idx="200">
                        <c:v>41.52</c:v>
                      </c:pt>
                      <c:pt idx="201">
                        <c:v>43.28</c:v>
                      </c:pt>
                      <c:pt idx="202">
                        <c:v>45.06</c:v>
                      </c:pt>
                      <c:pt idx="203">
                        <c:v>47.23</c:v>
                      </c:pt>
                      <c:pt idx="204">
                        <c:v>47.52</c:v>
                      </c:pt>
                      <c:pt idx="205">
                        <c:v>46.84</c:v>
                      </c:pt>
                      <c:pt idx="206">
                        <c:v>44.51</c:v>
                      </c:pt>
                      <c:pt idx="207">
                        <c:v>42.28</c:v>
                      </c:pt>
                      <c:pt idx="208">
                        <c:v>40.56</c:v>
                      </c:pt>
                      <c:pt idx="209">
                        <c:v>39.24</c:v>
                      </c:pt>
                      <c:pt idx="210">
                        <c:v>38.56</c:v>
                      </c:pt>
                      <c:pt idx="211">
                        <c:v>38.92</c:v>
                      </c:pt>
                      <c:pt idx="212">
                        <c:v>40.25</c:v>
                      </c:pt>
                      <c:pt idx="213">
                        <c:v>41.87</c:v>
                      </c:pt>
                      <c:pt idx="214">
                        <c:v>44.23</c:v>
                      </c:pt>
                      <c:pt idx="215">
                        <c:v>46.51</c:v>
                      </c:pt>
                      <c:pt idx="216">
                        <c:v>47.08</c:v>
                      </c:pt>
                      <c:pt idx="217">
                        <c:v>46.62</c:v>
                      </c:pt>
                      <c:pt idx="218">
                        <c:v>44.85</c:v>
                      </c:pt>
                      <c:pt idx="219">
                        <c:v>42.51</c:v>
                      </c:pt>
                      <c:pt idx="220">
                        <c:v>40.83</c:v>
                      </c:pt>
                      <c:pt idx="221">
                        <c:v>39.52</c:v>
                      </c:pt>
                      <c:pt idx="222">
                        <c:v>38.76</c:v>
                      </c:pt>
                      <c:pt idx="223">
                        <c:v>39.24</c:v>
                      </c:pt>
                      <c:pt idx="224">
                        <c:v>41.25</c:v>
                      </c:pt>
                      <c:pt idx="225">
                        <c:v>43.02</c:v>
                      </c:pt>
                      <c:pt idx="226">
                        <c:v>45.58</c:v>
                      </c:pt>
                      <c:pt idx="227">
                        <c:v>48.24</c:v>
                      </c:pt>
                      <c:pt idx="228">
                        <c:v>48.86</c:v>
                      </c:pt>
                      <c:pt idx="229">
                        <c:v>48.24</c:v>
                      </c:pt>
                      <c:pt idx="230">
                        <c:v>46.57</c:v>
                      </c:pt>
                      <c:pt idx="231">
                        <c:v>43.82</c:v>
                      </c:pt>
                      <c:pt idx="232">
                        <c:v>41.56</c:v>
                      </c:pt>
                      <c:pt idx="233">
                        <c:v>40.21</c:v>
                      </c:pt>
                      <c:pt idx="234">
                        <c:v>39.54</c:v>
                      </c:pt>
                      <c:pt idx="235">
                        <c:v>40.58</c:v>
                      </c:pt>
                      <c:pt idx="236">
                        <c:v>42.83</c:v>
                      </c:pt>
                      <c:pt idx="237">
                        <c:v>44.82</c:v>
                      </c:pt>
                      <c:pt idx="238">
                        <c:v>47.26</c:v>
                      </c:pt>
                      <c:pt idx="239">
                        <c:v>49.65</c:v>
                      </c:pt>
                      <c:pt idx="240">
                        <c:v>51.24</c:v>
                      </c:pt>
                      <c:pt idx="241">
                        <c:v>50.57</c:v>
                      </c:pt>
                      <c:pt idx="242">
                        <c:v>48.82</c:v>
                      </c:pt>
                      <c:pt idx="243">
                        <c:v>46.54</c:v>
                      </c:pt>
                      <c:pt idx="244">
                        <c:v>44.28</c:v>
                      </c:pt>
                      <c:pt idx="245">
                        <c:v>42.81</c:v>
                      </c:pt>
                      <c:pt idx="246">
                        <c:v>41.85</c:v>
                      </c:pt>
                      <c:pt idx="247">
                        <c:v>42.64</c:v>
                      </c:pt>
                      <c:pt idx="248">
                        <c:v>44.87</c:v>
                      </c:pt>
                      <c:pt idx="249">
                        <c:v>47.25</c:v>
                      </c:pt>
                      <c:pt idx="250">
                        <c:v>50.21</c:v>
                      </c:pt>
                      <c:pt idx="251">
                        <c:v>53.48</c:v>
                      </c:pt>
                      <c:pt idx="252">
                        <c:v>55.84</c:v>
                      </c:pt>
                      <c:pt idx="253">
                        <c:v>56.52</c:v>
                      </c:pt>
                      <c:pt idx="254">
                        <c:v>54.28</c:v>
                      </c:pt>
                      <c:pt idx="255">
                        <c:v>51.87</c:v>
                      </c:pt>
                      <c:pt idx="256">
                        <c:v>49.25</c:v>
                      </c:pt>
                      <c:pt idx="257">
                        <c:v>47.24</c:v>
                      </c:pt>
                      <c:pt idx="258">
                        <c:v>45.62</c:v>
                      </c:pt>
                      <c:pt idx="259">
                        <c:v>46.88</c:v>
                      </c:pt>
                      <c:pt idx="260">
                        <c:v>49.52</c:v>
                      </c:pt>
                      <c:pt idx="261">
                        <c:v>52.86</c:v>
                      </c:pt>
                      <c:pt idx="262">
                        <c:v>56.84</c:v>
                      </c:pt>
                      <c:pt idx="263">
                        <c:v>59.57</c:v>
                      </c:pt>
                      <c:pt idx="264">
                        <c:v>61.24</c:v>
                      </c:pt>
                      <c:pt idx="265">
                        <c:v>60.58</c:v>
                      </c:pt>
                      <c:pt idx="266">
                        <c:v>58.23</c:v>
                      </c:pt>
                      <c:pt idx="267">
                        <c:v>55.87</c:v>
                      </c:pt>
                      <c:pt idx="268">
                        <c:v>53.24</c:v>
                      </c:pt>
                      <c:pt idx="269">
                        <c:v>50.86</c:v>
                      </c:pt>
                      <c:pt idx="270">
                        <c:v>49.25</c:v>
                      </c:pt>
                      <c:pt idx="271">
                        <c:v>50.52</c:v>
                      </c:pt>
                      <c:pt idx="272">
                        <c:v>53.84</c:v>
                      </c:pt>
                      <c:pt idx="273">
                        <c:v>57.26</c:v>
                      </c:pt>
                      <c:pt idx="274">
                        <c:v>60.83</c:v>
                      </c:pt>
                      <c:pt idx="275">
                        <c:v>63.58</c:v>
                      </c:pt>
                      <c:pt idx="276">
                        <c:v>62.85</c:v>
                      </c:pt>
                      <c:pt idx="277">
                        <c:v>61.52</c:v>
                      </c:pt>
                      <c:pt idx="278">
                        <c:v>59.27</c:v>
                      </c:pt>
                      <c:pt idx="279">
                        <c:v>56.54</c:v>
                      </c:pt>
                      <c:pt idx="280">
                        <c:v>53.82</c:v>
                      </c:pt>
                      <c:pt idx="281">
                        <c:v>51.26</c:v>
                      </c:pt>
                      <c:pt idx="282">
                        <c:v>49.87</c:v>
                      </c:pt>
                      <c:pt idx="283">
                        <c:v>50.64</c:v>
                      </c:pt>
                      <c:pt idx="284">
                        <c:v>53.58</c:v>
                      </c:pt>
                      <c:pt idx="285">
                        <c:v>56.82</c:v>
                      </c:pt>
                      <c:pt idx="286">
                        <c:v>59.25</c:v>
                      </c:pt>
                      <c:pt idx="287">
                        <c:v>61.04</c:v>
                      </c:pt>
                      <c:pt idx="288">
                        <c:v>59.26</c:v>
                      </c:pt>
                      <c:pt idx="289">
                        <c:v>56.54</c:v>
                      </c:pt>
                      <c:pt idx="290">
                        <c:v>52.87</c:v>
                      </c:pt>
                      <c:pt idx="291">
                        <c:v>49.25</c:v>
                      </c:pt>
                      <c:pt idx="292">
                        <c:v>46.58</c:v>
                      </c:pt>
                      <c:pt idx="293">
                        <c:v>43.82</c:v>
                      </c:pt>
                      <c:pt idx="294">
                        <c:v>42.24</c:v>
                      </c:pt>
                      <c:pt idx="295">
                        <c:v>43.06</c:v>
                      </c:pt>
                      <c:pt idx="296">
                        <c:v>44.87</c:v>
                      </c:pt>
                      <c:pt idx="297">
                        <c:v>47.25</c:v>
                      </c:pt>
                      <c:pt idx="298">
                        <c:v>49.52</c:v>
                      </c:pt>
                      <c:pt idx="299">
                        <c:v>51.84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2872371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13112425"/>
        <c:crosses val="autoZero"/>
        <c:auto val="1"/>
        <c:lblAlgn val="ctr"/>
        <c:lblOffset val="100"/>
        <c:noMultiLvlLbl val="0"/>
      </c:catAx>
      <c:valAx>
        <c:axId val="613112425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 forceAA="0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87237170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7bf692-eaf7-49ee-b58b-fa3896c8f02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'2025年不同距离氢浓度数据'!$B$1</c:f>
              <c:strCache>
                <c:ptCount val="1"/>
                <c:pt idx="0">
                  <c:v>1月1日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'2025年不同距离氢浓度数据'!$B$2:$B$9</c:f>
              <c:numCache>
                <c:formatCode>General</c:formatCode>
                <c:ptCount val="8"/>
                <c:pt idx="0">
                  <c:v>2.12</c:v>
                </c:pt>
                <c:pt idx="1">
                  <c:v>2.85</c:v>
                </c:pt>
                <c:pt idx="2">
                  <c:v>3.55</c:v>
                </c:pt>
                <c:pt idx="3">
                  <c:v>4.12</c:v>
                </c:pt>
                <c:pt idx="4">
                  <c:v>4.35</c:v>
                </c:pt>
                <c:pt idx="5">
                  <c:v>4.22</c:v>
                </c:pt>
                <c:pt idx="6">
                  <c:v>4.05</c:v>
                </c:pt>
                <c:pt idx="7">
                  <c:v>3.82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'2025年不同距离氢浓度数据'!$C$1</c:f>
              <c:strCache>
                <c:ptCount val="1"/>
                <c:pt idx="0">
                  <c:v>2月1日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'2025年不同距离氢浓度数据'!$C$2:$C$9</c:f>
              <c:numCache>
                <c:formatCode>General</c:formatCode>
                <c:ptCount val="8"/>
                <c:pt idx="0">
                  <c:v>2.25</c:v>
                </c:pt>
                <c:pt idx="1">
                  <c:v>2.98</c:v>
                </c:pt>
                <c:pt idx="2">
                  <c:v>3.72</c:v>
                </c:pt>
                <c:pt idx="3">
                  <c:v>4.35</c:v>
                </c:pt>
                <c:pt idx="4">
                  <c:v>4.52</c:v>
                </c:pt>
                <c:pt idx="5">
                  <c:v>4.38</c:v>
                </c:pt>
                <c:pt idx="6">
                  <c:v>4.18</c:v>
                </c:pt>
                <c:pt idx="7">
                  <c:v>3.95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'2025年不同距离氢浓度数据'!$D$1</c:f>
              <c:strCache>
                <c:ptCount val="1"/>
                <c:pt idx="0">
                  <c:v>3月1日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'2025年不同距离氢浓度数据'!$D$2:$D$9</c:f>
              <c:numCache>
                <c:formatCode>General</c:formatCode>
                <c:ptCount val="8"/>
                <c:pt idx="0">
                  <c:v>2.58</c:v>
                </c:pt>
                <c:pt idx="1">
                  <c:v>3.42</c:v>
                </c:pt>
                <c:pt idx="2">
                  <c:v>4.25</c:v>
                </c:pt>
                <c:pt idx="3">
                  <c:v>4.95</c:v>
                </c:pt>
                <c:pt idx="4">
                  <c:v>5.12</c:v>
                </c:pt>
                <c:pt idx="5">
                  <c:v>4.98</c:v>
                </c:pt>
                <c:pt idx="6">
                  <c:v>4.75</c:v>
                </c:pt>
                <c:pt idx="7">
                  <c:v>4.52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'2025年不同距离氢浓度数据'!$E$1</c:f>
              <c:strCache>
                <c:ptCount val="1"/>
                <c:pt idx="0">
                  <c:v>4月1日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'2025年不同距离氢浓度数据'!$E$2:$E$9</c:f>
              <c:numCache>
                <c:formatCode>General</c:formatCode>
                <c:ptCount val="8"/>
                <c:pt idx="0">
                  <c:v>2.92</c:v>
                </c:pt>
                <c:pt idx="1">
                  <c:v>3.95</c:v>
                </c:pt>
                <c:pt idx="2">
                  <c:v>4.95</c:v>
                </c:pt>
                <c:pt idx="3">
                  <c:v>5.82</c:v>
                </c:pt>
                <c:pt idx="4">
                  <c:v>6.15</c:v>
                </c:pt>
                <c:pt idx="5">
                  <c:v>5.92</c:v>
                </c:pt>
                <c:pt idx="6">
                  <c:v>5.65</c:v>
                </c:pt>
                <c:pt idx="7">
                  <c:v>5.35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'2025年不同距离氢浓度数据'!$F$1</c:f>
              <c:strCache>
                <c:ptCount val="1"/>
                <c:pt idx="0">
                  <c:v>5月1日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'2025年不同距离氢浓度数据'!$F$2:$F$9</c:f>
              <c:numCache>
                <c:formatCode>General</c:formatCode>
                <c:ptCount val="8"/>
                <c:pt idx="0">
                  <c:v>3.25</c:v>
                </c:pt>
                <c:pt idx="1">
                  <c:v>4.58</c:v>
                </c:pt>
                <c:pt idx="2">
                  <c:v>5.85</c:v>
                </c:pt>
                <c:pt idx="3">
                  <c:v>6.92</c:v>
                </c:pt>
                <c:pt idx="4">
                  <c:v>7.35</c:v>
                </c:pt>
                <c:pt idx="5">
                  <c:v>7.05</c:v>
                </c:pt>
                <c:pt idx="6">
                  <c:v>6.72</c:v>
                </c:pt>
                <c:pt idx="7">
                  <c:v>6.38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'2025年不同距离氢浓度数据'!$G$1</c:f>
              <c:strCache>
                <c:ptCount val="1"/>
                <c:pt idx="0">
                  <c:v>6月1日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'2025年不同距离氢浓度数据'!$G$2:$G$9</c:f>
              <c:numCache>
                <c:formatCode>General</c:formatCode>
                <c:ptCount val="8"/>
                <c:pt idx="0">
                  <c:v>3.68</c:v>
                </c:pt>
                <c:pt idx="1">
                  <c:v>5.25</c:v>
                </c:pt>
                <c:pt idx="2">
                  <c:v>6.82</c:v>
                </c:pt>
                <c:pt idx="3">
                  <c:v>8.15</c:v>
                </c:pt>
                <c:pt idx="4">
                  <c:v>8.65</c:v>
                </c:pt>
                <c:pt idx="5">
                  <c:v>8.32</c:v>
                </c:pt>
                <c:pt idx="6">
                  <c:v>7.95</c:v>
                </c:pt>
                <c:pt idx="7">
                  <c:v>7.52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'2025年不同距离氢浓度数据'!$H$1</c:f>
              <c:strCache>
                <c:ptCount val="1"/>
                <c:pt idx="0">
                  <c:v>7月1日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'2025年不同距离氢浓度数据'!$H$2:$H$9</c:f>
              <c:numCache>
                <c:formatCode>General</c:formatCode>
                <c:ptCount val="8"/>
                <c:pt idx="0">
                  <c:v>3.95</c:v>
                </c:pt>
                <c:pt idx="1">
                  <c:v>5.85</c:v>
                </c:pt>
                <c:pt idx="2">
                  <c:v>7.52</c:v>
                </c:pt>
                <c:pt idx="3">
                  <c:v>9.25</c:v>
                </c:pt>
                <c:pt idx="4">
                  <c:v>9.85</c:v>
                </c:pt>
                <c:pt idx="5">
                  <c:v>9.42</c:v>
                </c:pt>
                <c:pt idx="6">
                  <c:v>8.95</c:v>
                </c:pt>
                <c:pt idx="7">
                  <c:v>8.52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'2025年不同距离氢浓度数据'!$I$1</c:f>
              <c:strCache>
                <c:ptCount val="1"/>
                <c:pt idx="0">
                  <c:v>8月1日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'2025年不同距离氢浓度数据'!$I$2:$I$9</c:f>
              <c:numCache>
                <c:formatCode>General</c:formatCode>
                <c:ptCount val="8"/>
                <c:pt idx="0">
                  <c:v>3.62</c:v>
                </c:pt>
                <c:pt idx="1">
                  <c:v>5.22</c:v>
                </c:pt>
                <c:pt idx="2">
                  <c:v>6.65</c:v>
                </c:pt>
                <c:pt idx="3">
                  <c:v>8.12</c:v>
                </c:pt>
                <c:pt idx="4">
                  <c:v>8.58</c:v>
                </c:pt>
                <c:pt idx="5">
                  <c:v>8.25</c:v>
                </c:pt>
                <c:pt idx="6">
                  <c:v>7.85</c:v>
                </c:pt>
                <c:pt idx="7">
                  <c:v>7.42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'2025年不同距离氢浓度数据'!$J$1</c:f>
              <c:strCache>
                <c:ptCount val="1"/>
                <c:pt idx="0">
                  <c:v>9月1日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'2025年不同距离氢浓度数据'!$J$2:$J$9</c:f>
              <c:numCache>
                <c:formatCode>General</c:formatCode>
                <c:ptCount val="8"/>
                <c:pt idx="0">
                  <c:v>3.12</c:v>
                </c:pt>
                <c:pt idx="1">
                  <c:v>4.45</c:v>
                </c:pt>
                <c:pt idx="2">
                  <c:v>5.62</c:v>
                </c:pt>
                <c:pt idx="3">
                  <c:v>6.85</c:v>
                </c:pt>
                <c:pt idx="4">
                  <c:v>7.22</c:v>
                </c:pt>
                <c:pt idx="5">
                  <c:v>6.95</c:v>
                </c:pt>
                <c:pt idx="6">
                  <c:v>6.62</c:v>
                </c:pt>
                <c:pt idx="7">
                  <c:v>6.25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'2025年不同距离氢浓度数据'!$K$1</c:f>
              <c:strCache>
                <c:ptCount val="1"/>
                <c:pt idx="0">
                  <c:v>10月1日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'2025年不同距离氢浓度数据'!$K$2:$K$9</c:f>
              <c:numCache>
                <c:formatCode>General</c:formatCode>
                <c:ptCount val="8"/>
                <c:pt idx="0">
                  <c:v>2.85</c:v>
                </c:pt>
                <c:pt idx="1">
                  <c:v>3.92</c:v>
                </c:pt>
                <c:pt idx="2">
                  <c:v>4.98</c:v>
                </c:pt>
                <c:pt idx="3">
                  <c:v>5.95</c:v>
                </c:pt>
                <c:pt idx="4">
                  <c:v>6.25</c:v>
                </c:pt>
                <c:pt idx="5">
                  <c:v>6.05</c:v>
                </c:pt>
                <c:pt idx="6">
                  <c:v>5.72</c:v>
                </c:pt>
                <c:pt idx="7">
                  <c:v>5.45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'2025年不同距离氢浓度数据'!$L$1</c:f>
              <c:strCache>
                <c:ptCount val="1"/>
                <c:pt idx="0">
                  <c:v>11月1日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'2025年不同距离氢浓度数据'!$L$2:$L$9</c:f>
              <c:numCache>
                <c:formatCode>General</c:formatCode>
                <c:ptCount val="8"/>
                <c:pt idx="0">
                  <c:v>2.52</c:v>
                </c:pt>
                <c:pt idx="1">
                  <c:v>3.45</c:v>
                </c:pt>
                <c:pt idx="2">
                  <c:v>4.35</c:v>
                </c:pt>
                <c:pt idx="3">
                  <c:v>5.12</c:v>
                </c:pt>
                <c:pt idx="4">
                  <c:v>5.35</c:v>
                </c:pt>
                <c:pt idx="5">
                  <c:v>5.15</c:v>
                </c:pt>
                <c:pt idx="6">
                  <c:v>4.88</c:v>
                </c:pt>
                <c:pt idx="7">
                  <c:v>4.58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'2025年不同距离氢浓度数据'!$M$1</c:f>
              <c:strCache>
                <c:ptCount val="1"/>
                <c:pt idx="0">
                  <c:v>12月1日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'2025年不同距离氢浓度数据'!$A$2:$A$9</c:f>
              <c:strCache>
                <c:ptCount val="8"/>
                <c:pt idx="0">
                  <c:v>200km</c:v>
                </c:pt>
                <c:pt idx="1">
                  <c:v>400km</c:v>
                </c:pt>
                <c:pt idx="2">
                  <c:v>600km</c:v>
                </c:pt>
                <c:pt idx="3">
                  <c:v>800km</c:v>
                </c:pt>
                <c:pt idx="4">
                  <c:v>1000km</c:v>
                </c:pt>
                <c:pt idx="5">
                  <c:v>1200km</c:v>
                </c:pt>
                <c:pt idx="6">
                  <c:v>1400km</c:v>
                </c:pt>
                <c:pt idx="7">
                  <c:v>1600km</c:v>
                </c:pt>
              </c:strCache>
            </c:strRef>
          </c:cat>
          <c:val>
            <c:numRef>
              <c:f>'2025年不同距离氢浓度数据'!$M$2:$M$9</c:f>
              <c:numCache>
                <c:formatCode>General</c:formatCode>
                <c:ptCount val="8"/>
                <c:pt idx="0">
                  <c:v>2.35</c:v>
                </c:pt>
                <c:pt idx="1">
                  <c:v>3.12</c:v>
                </c:pt>
                <c:pt idx="2">
                  <c:v>3.95</c:v>
                </c:pt>
                <c:pt idx="3">
                  <c:v>4.65</c:v>
                </c:pt>
                <c:pt idx="4">
                  <c:v>4.82</c:v>
                </c:pt>
                <c:pt idx="5">
                  <c:v>4.68</c:v>
                </c:pt>
                <c:pt idx="6">
                  <c:v>4.45</c:v>
                </c:pt>
                <c:pt idx="7">
                  <c:v>4.15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17523151"/>
        <c:axId val="21478019"/>
      </c:lineChart>
      <c:catAx>
        <c:axId val="17523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1478019"/>
        <c:crosses val="autoZero"/>
        <c:auto val="1"/>
        <c:lblAlgn val="ctr"/>
        <c:lblOffset val="100"/>
        <c:noMultiLvlLbl val="0"/>
      </c:catAx>
      <c:valAx>
        <c:axId val="21478019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 forceAA="0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charset="-122"/>
                  <a:ea typeface="微软雅黑" panose="020B0503020204020204" charset="-122"/>
                  <a:cs typeface="微软雅黑" panose="020B0503020204020204" charset="-122"/>
                  <a:sym typeface="微软雅黑" panose="020B0503020204020204" charset="-122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752315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fac3f9-36b6-4c25-8464-e430d06eef44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121285</xdr:colOff>
      <xdr:row>15</xdr:row>
      <xdr:rowOff>10160</xdr:rowOff>
    </xdr:from>
    <xdr:to>
      <xdr:col>301</xdr:col>
      <xdr:colOff>27305</xdr:colOff>
      <xdr:row>68</xdr:row>
      <xdr:rowOff>1905</xdr:rowOff>
    </xdr:to>
    <xdr:graphicFrame>
      <xdr:nvGraphicFramePr>
        <xdr:cNvPr id="5" name="图表 4" descr="7b0a202020202263686172745265734964223a20223230343639313132220a7d0a"/>
        <xdr:cNvGraphicFramePr/>
      </xdr:nvGraphicFramePr>
      <xdr:xfrm>
        <a:off x="2359660" y="3220085"/>
        <a:ext cx="204960220" cy="9078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495300</xdr:colOff>
      <xdr:row>11</xdr:row>
      <xdr:rowOff>120650</xdr:rowOff>
    </xdr:from>
    <xdr:to>
      <xdr:col>17</xdr:col>
      <xdr:colOff>90805</xdr:colOff>
      <xdr:row>52</xdr:row>
      <xdr:rowOff>128905</xdr:rowOff>
    </xdr:to>
    <xdr:graphicFrame>
      <xdr:nvGraphicFramePr>
        <xdr:cNvPr id="2" name="图表 1" descr="7b0a202020202263686172745265734964223a20223230343639313132220a7d0a"/>
        <xdr:cNvGraphicFramePr/>
      </xdr:nvGraphicFramePr>
      <xdr:xfrm>
        <a:off x="495300" y="3168650"/>
        <a:ext cx="11254105" cy="7037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6"/>
  <sheetViews>
    <sheetView topLeftCell="D1" workbookViewId="0">
      <selection activeCell="M1" sqref="M1"/>
    </sheetView>
  </sheetViews>
  <sheetFormatPr defaultColWidth="9" defaultRowHeight="13.5"/>
  <cols>
    <col min="2" max="2" width="8.375" customWidth="1"/>
    <col min="3" max="3" width="17.5" customWidth="1"/>
    <col min="4" max="4" width="17.75" customWidth="1"/>
    <col min="5" max="5" width="32.625" customWidth="1"/>
    <col min="11" max="11" width="16.625" customWidth="1"/>
    <col min="12" max="12" width="30.5" customWidth="1"/>
    <col min="13" max="14" width="15.625" customWidth="1"/>
    <col min="18" max="18" width="16.625" customWidth="1"/>
    <col min="20" max="20" width="15.625" customWidth="1"/>
    <col min="23" max="26" width="16.625" customWidth="1"/>
    <col min="27" max="31" width="12.625"/>
  </cols>
  <sheetData>
    <row r="1" ht="62" customHeight="1" spans="1:31">
      <c r="E1" s="13"/>
      <c r="F1" s="13"/>
      <c r="G1" s="13"/>
      <c r="H1" s="13"/>
      <c r="I1" s="13"/>
      <c r="J1" s="13"/>
      <c r="K1" s="13"/>
      <c r="L1" s="13"/>
      <c r="M1" s="16" t="s">
        <v>0</v>
      </c>
      <c r="N1" s="16" t="s">
        <v>1</v>
      </c>
      <c r="O1" s="16" t="s">
        <v>2</v>
      </c>
      <c r="P1" s="16" t="s">
        <v>3</v>
      </c>
      <c r="Q1" s="16" t="s">
        <v>4</v>
      </c>
      <c r="R1" s="17" t="s">
        <v>5</v>
      </c>
      <c r="S1" s="17"/>
    </row>
    <row r="2" ht="60.75" spans="1:31">
      <c r="B2" s="6" t="s">
        <v>6</v>
      </c>
      <c r="C2" s="6" t="s">
        <v>7</v>
      </c>
      <c r="D2" s="6" t="s">
        <v>8</v>
      </c>
      <c r="E2" s="2" t="s">
        <v>9</v>
      </c>
      <c r="F2" s="2" t="s">
        <v>10</v>
      </c>
      <c r="G2" s="2" t="s">
        <v>11</v>
      </c>
      <c r="H2" s="2"/>
      <c r="I2" s="2" t="s">
        <v>6</v>
      </c>
      <c r="J2" s="10" t="s">
        <v>12</v>
      </c>
      <c r="K2" s="10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10" t="s">
        <v>20</v>
      </c>
      <c r="S2" s="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</row>
    <row r="3" ht="59" customHeight="1" spans="1:31">
      <c r="A3">
        <v>2001</v>
      </c>
      <c r="B3" s="3">
        <v>46023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tr">
        <f t="shared" ref="H3:H66" si="0">LEFT(G3,5)</f>
        <v>68.22</v>
      </c>
      <c r="I3" s="3">
        <v>46023</v>
      </c>
      <c r="J3" s="6">
        <v>425</v>
      </c>
      <c r="K3" s="6">
        <v>612.4</v>
      </c>
      <c r="L3" s="4" t="s">
        <v>32</v>
      </c>
      <c r="M3" s="6" t="s">
        <v>33</v>
      </c>
      <c r="N3" s="6" t="s">
        <v>34</v>
      </c>
      <c r="O3" s="4">
        <v>370.52</v>
      </c>
      <c r="P3" s="4">
        <v>9.85</v>
      </c>
      <c r="Q3" s="4">
        <v>42.5</v>
      </c>
      <c r="R3" s="4">
        <v>3.42</v>
      </c>
      <c r="S3" s="4">
        <v>4.85</v>
      </c>
      <c r="T3">
        <f t="shared" ref="T3:T66" si="1">LEFT(C3,5)-LEFT(D3,4)</f>
        <v>6.78</v>
      </c>
      <c r="U3" s="18">
        <v>74.5</v>
      </c>
      <c r="V3" s="18">
        <f t="shared" ref="V3:V66" si="2">LEFT(D3,4)+LEFT(G3,5)</f>
        <v>142.72</v>
      </c>
      <c r="W3" s="18">
        <f t="shared" ref="W3:W66" si="3">LEFT(G3,5)-LEFT(F3,5)</f>
        <v>3.56</v>
      </c>
      <c r="X3" s="18">
        <f t="shared" ref="X3:X66" si="4">SUM(J3:K3)</f>
        <v>1037.4</v>
      </c>
      <c r="Y3" s="18"/>
      <c r="Z3" s="18"/>
    </row>
    <row r="4" ht="29.25" spans="1:31">
      <c r="A4">
        <v>2001</v>
      </c>
      <c r="B4" s="3">
        <v>46054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tr">
        <f t="shared" si="0"/>
        <v>69.10</v>
      </c>
      <c r="I4" s="3">
        <v>46054</v>
      </c>
      <c r="J4" s="6">
        <v>428</v>
      </c>
      <c r="K4" s="4">
        <v>608.2</v>
      </c>
      <c r="L4" s="4" t="s">
        <v>40</v>
      </c>
      <c r="M4" s="4" t="s">
        <v>41</v>
      </c>
      <c r="N4" s="4" t="s">
        <v>42</v>
      </c>
      <c r="O4" s="4">
        <v>371.49</v>
      </c>
      <c r="P4" s="4">
        <v>9.92</v>
      </c>
      <c r="Q4" s="4">
        <v>45.8</v>
      </c>
      <c r="R4" s="4">
        <v>3.65</v>
      </c>
      <c r="S4" s="4">
        <v>4.62</v>
      </c>
      <c r="T4">
        <f t="shared" si="1"/>
        <v>6.23</v>
      </c>
      <c r="U4" s="18">
        <v>75.1</v>
      </c>
      <c r="V4" s="18">
        <f t="shared" si="2"/>
        <v>144.2</v>
      </c>
      <c r="W4" s="18">
        <f t="shared" si="3"/>
        <v>4.41999999999999</v>
      </c>
      <c r="X4" s="18">
        <f t="shared" si="4"/>
        <v>1036.2</v>
      </c>
      <c r="Y4" s="18"/>
      <c r="Z4" s="18"/>
    </row>
    <row r="5" ht="51" customHeight="1" spans="1:31">
      <c r="A5">
        <v>2001</v>
      </c>
      <c r="B5" s="3">
        <v>46082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tr">
        <f t="shared" si="0"/>
        <v>69.85</v>
      </c>
      <c r="I5" s="3">
        <v>46082</v>
      </c>
      <c r="J5" s="6">
        <v>422</v>
      </c>
      <c r="K5" s="4">
        <v>592.5</v>
      </c>
      <c r="L5" s="4" t="s">
        <v>48</v>
      </c>
      <c r="M5" s="4" t="s">
        <v>49</v>
      </c>
      <c r="N5" s="4" t="s">
        <v>50</v>
      </c>
      <c r="O5" s="4">
        <v>372.53</v>
      </c>
      <c r="P5" s="4">
        <v>10.05</v>
      </c>
      <c r="Q5" s="4">
        <v>52.3</v>
      </c>
      <c r="R5" s="4">
        <v>4.1</v>
      </c>
      <c r="S5" s="4">
        <v>4.25</v>
      </c>
      <c r="T5">
        <f t="shared" si="1"/>
        <v>4.58</v>
      </c>
      <c r="U5" s="18">
        <v>76.8</v>
      </c>
      <c r="V5" s="18">
        <f t="shared" si="2"/>
        <v>146.65</v>
      </c>
      <c r="W5" s="18">
        <f t="shared" si="3"/>
        <v>5.16</v>
      </c>
      <c r="X5" s="18">
        <f t="shared" si="4"/>
        <v>1014.5</v>
      </c>
      <c r="Y5" s="18"/>
      <c r="Z5" s="18"/>
    </row>
    <row r="6" ht="29.25" spans="1:31">
      <c r="A6">
        <v>2001</v>
      </c>
      <c r="B6" s="3">
        <v>46113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55</v>
      </c>
      <c r="H6" s="4" t="str">
        <f t="shared" si="0"/>
        <v>69.50</v>
      </c>
      <c r="I6" s="3">
        <v>46113</v>
      </c>
      <c r="J6" s="6">
        <v>415</v>
      </c>
      <c r="K6" s="4">
        <v>565.8</v>
      </c>
      <c r="L6" s="4" t="s">
        <v>56</v>
      </c>
      <c r="M6" s="6" t="s">
        <v>57</v>
      </c>
      <c r="N6" s="4" t="s">
        <v>58</v>
      </c>
      <c r="O6" s="4">
        <v>373.82</v>
      </c>
      <c r="P6" s="4">
        <v>10.18</v>
      </c>
      <c r="Q6" s="6">
        <v>68.4</v>
      </c>
      <c r="R6" s="4">
        <v>4.58</v>
      </c>
      <c r="S6" s="4">
        <v>3.84</v>
      </c>
      <c r="T6">
        <f t="shared" si="1"/>
        <v>3.22</v>
      </c>
      <c r="U6" s="18">
        <v>78.2</v>
      </c>
      <c r="V6" s="18">
        <f t="shared" si="2"/>
        <v>147.7</v>
      </c>
      <c r="W6" s="18">
        <f t="shared" si="3"/>
        <v>4.8</v>
      </c>
      <c r="X6" s="18">
        <f t="shared" si="4"/>
        <v>980.8</v>
      </c>
      <c r="Y6" s="18"/>
      <c r="Z6" s="18"/>
    </row>
    <row r="7" ht="57" customHeight="1" spans="1:31">
      <c r="A7">
        <v>2001</v>
      </c>
      <c r="B7" s="3">
        <v>46143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63</v>
      </c>
      <c r="H7" s="4" t="str">
        <f t="shared" si="0"/>
        <v>68.80</v>
      </c>
      <c r="I7" s="3">
        <v>46143</v>
      </c>
      <c r="J7" s="6">
        <v>408</v>
      </c>
      <c r="K7" s="4">
        <v>538.4</v>
      </c>
      <c r="L7" s="4" t="s">
        <v>64</v>
      </c>
      <c r="M7" s="4" t="s">
        <v>65</v>
      </c>
      <c r="N7" s="6" t="s">
        <v>66</v>
      </c>
      <c r="O7" s="4">
        <v>374.42</v>
      </c>
      <c r="P7" s="4">
        <v>10.35</v>
      </c>
      <c r="Q7" s="4">
        <v>61.2</v>
      </c>
      <c r="R7" s="4">
        <v>5.12</v>
      </c>
      <c r="S7" s="4">
        <v>3.15</v>
      </c>
      <c r="T7">
        <f t="shared" si="1"/>
        <v>1.97</v>
      </c>
      <c r="U7" s="18">
        <v>79.5</v>
      </c>
      <c r="V7" s="18">
        <f t="shared" si="2"/>
        <v>148.3</v>
      </c>
      <c r="W7" s="18">
        <f t="shared" si="3"/>
        <v>4.09</v>
      </c>
      <c r="X7" s="18">
        <f t="shared" si="4"/>
        <v>946.4</v>
      </c>
      <c r="Y7" s="18"/>
      <c r="Z7" s="18"/>
    </row>
    <row r="8" ht="29.25" spans="1:31">
      <c r="A8">
        <v>2001</v>
      </c>
      <c r="B8" s="3">
        <v>46174</v>
      </c>
      <c r="C8" s="4" t="s">
        <v>67</v>
      </c>
      <c r="D8" s="4" t="s">
        <v>68</v>
      </c>
      <c r="E8" s="4" t="s">
        <v>69</v>
      </c>
      <c r="F8" s="4" t="s">
        <v>70</v>
      </c>
      <c r="G8" s="4" t="s">
        <v>71</v>
      </c>
      <c r="H8" s="4" t="str">
        <f t="shared" si="0"/>
        <v>67.45</v>
      </c>
      <c r="I8" s="3">
        <v>46174</v>
      </c>
      <c r="J8" s="6">
        <v>398</v>
      </c>
      <c r="K8" s="4">
        <v>512.1</v>
      </c>
      <c r="L8" s="6" t="s">
        <v>72</v>
      </c>
      <c r="M8" s="4" t="s">
        <v>73</v>
      </c>
      <c r="N8" s="4" t="s">
        <v>74</v>
      </c>
      <c r="O8" s="4">
        <v>373.82</v>
      </c>
      <c r="P8" s="4">
        <v>10.52</v>
      </c>
      <c r="Q8" s="4">
        <v>58.6</v>
      </c>
      <c r="R8" s="4">
        <v>5.84</v>
      </c>
      <c r="S8" s="4">
        <v>2.42</v>
      </c>
      <c r="T8">
        <f t="shared" si="1"/>
        <v>-0.579999999999998</v>
      </c>
      <c r="U8" s="18">
        <v>82.1</v>
      </c>
      <c r="V8" s="18">
        <f t="shared" si="2"/>
        <v>149.55</v>
      </c>
      <c r="W8" s="18">
        <f t="shared" si="3"/>
        <v>2.73</v>
      </c>
      <c r="X8" s="18">
        <f t="shared" si="4"/>
        <v>910.1</v>
      </c>
      <c r="Y8" s="18"/>
      <c r="Z8" s="18"/>
    </row>
    <row r="9" ht="64" customHeight="1" spans="1:31">
      <c r="A9">
        <v>2001</v>
      </c>
      <c r="B9" s="3">
        <v>46204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tr">
        <f t="shared" si="0"/>
        <v>66.90</v>
      </c>
      <c r="I9" s="3">
        <v>46204</v>
      </c>
      <c r="J9" s="6">
        <v>392</v>
      </c>
      <c r="K9" s="6">
        <v>498.6</v>
      </c>
      <c r="L9" s="4" t="s">
        <v>80</v>
      </c>
      <c r="M9" s="4" t="s">
        <v>81</v>
      </c>
      <c r="N9" s="4" t="s">
        <v>82</v>
      </c>
      <c r="O9" s="4">
        <v>371.74</v>
      </c>
      <c r="P9" s="6">
        <v>10.68</v>
      </c>
      <c r="Q9" s="4">
        <v>55.1</v>
      </c>
      <c r="R9" s="6">
        <v>6.25</v>
      </c>
      <c r="S9" s="6">
        <v>1.98</v>
      </c>
      <c r="T9">
        <f t="shared" si="1"/>
        <v>-1.83000000000001</v>
      </c>
      <c r="U9" s="18">
        <v>83.4</v>
      </c>
      <c r="V9" s="18">
        <f t="shared" si="2"/>
        <v>150.3</v>
      </c>
      <c r="W9" s="18">
        <f t="shared" si="3"/>
        <v>2.17</v>
      </c>
      <c r="X9" s="18">
        <f t="shared" si="4"/>
        <v>890.6</v>
      </c>
      <c r="Y9" s="18"/>
      <c r="Z9" s="18"/>
    </row>
    <row r="10" ht="29.25" spans="1:31">
      <c r="A10">
        <v>2001</v>
      </c>
      <c r="B10" s="3">
        <v>46235</v>
      </c>
      <c r="C10" s="4" t="s">
        <v>83</v>
      </c>
      <c r="D10" s="4" t="s">
        <v>84</v>
      </c>
      <c r="E10" s="4" t="s">
        <v>85</v>
      </c>
      <c r="F10" s="4" t="s">
        <v>86</v>
      </c>
      <c r="G10" s="4" t="s">
        <v>87</v>
      </c>
      <c r="H10" s="4" t="str">
        <f t="shared" si="0"/>
        <v>67.15</v>
      </c>
      <c r="I10" s="3">
        <v>46235</v>
      </c>
      <c r="J10" s="6">
        <v>395</v>
      </c>
      <c r="K10" s="4">
        <v>505.4</v>
      </c>
      <c r="L10" s="4" t="s">
        <v>88</v>
      </c>
      <c r="M10" s="4" t="s">
        <v>89</v>
      </c>
      <c r="N10" s="4" t="s">
        <v>90</v>
      </c>
      <c r="O10" s="4">
        <v>369.85</v>
      </c>
      <c r="P10" s="6">
        <v>10.72</v>
      </c>
      <c r="Q10" s="4">
        <v>53.8</v>
      </c>
      <c r="R10" s="4">
        <v>5.92</v>
      </c>
      <c r="S10" s="4">
        <v>2.15</v>
      </c>
      <c r="T10">
        <f t="shared" si="1"/>
        <v>-1.17999999999999</v>
      </c>
      <c r="U10" s="18">
        <v>82.8</v>
      </c>
      <c r="V10" s="18">
        <f t="shared" si="2"/>
        <v>149.95</v>
      </c>
      <c r="W10" s="18">
        <f t="shared" si="3"/>
        <v>2.40000000000001</v>
      </c>
      <c r="X10" s="18">
        <f t="shared" si="4"/>
        <v>900.4</v>
      </c>
      <c r="Y10" s="18"/>
      <c r="Z10" s="18"/>
    </row>
    <row r="11" ht="56" customHeight="1" spans="1:31">
      <c r="A11">
        <v>2001</v>
      </c>
      <c r="B11" s="3">
        <v>46266</v>
      </c>
      <c r="C11" s="4" t="s">
        <v>91</v>
      </c>
      <c r="D11" s="4" t="s">
        <v>92</v>
      </c>
      <c r="E11" s="4" t="s">
        <v>93</v>
      </c>
      <c r="F11" s="4" t="s">
        <v>94</v>
      </c>
      <c r="G11" s="4" t="s">
        <v>95</v>
      </c>
      <c r="H11" s="4" t="str">
        <f t="shared" si="0"/>
        <v>68.30</v>
      </c>
      <c r="I11" s="3">
        <v>46266</v>
      </c>
      <c r="J11" s="6">
        <v>402</v>
      </c>
      <c r="K11" s="4">
        <v>528.9</v>
      </c>
      <c r="L11" s="4" t="s">
        <v>96</v>
      </c>
      <c r="M11" s="6" t="s">
        <v>97</v>
      </c>
      <c r="N11" s="4" t="s">
        <v>98</v>
      </c>
      <c r="O11" s="4">
        <v>368.16</v>
      </c>
      <c r="P11" s="4">
        <v>10.45</v>
      </c>
      <c r="Q11" s="4">
        <v>51.5</v>
      </c>
      <c r="R11" s="4">
        <v>5.1</v>
      </c>
      <c r="S11" s="4">
        <v>3.24</v>
      </c>
      <c r="T11">
        <f t="shared" si="1"/>
        <v>1.25999999999999</v>
      </c>
      <c r="U11" s="18">
        <v>80.4</v>
      </c>
      <c r="V11" s="18">
        <f t="shared" si="2"/>
        <v>148.7</v>
      </c>
      <c r="W11" s="18">
        <f t="shared" si="3"/>
        <v>3.53999999999999</v>
      </c>
      <c r="X11" s="18">
        <f t="shared" si="4"/>
        <v>930.9</v>
      </c>
      <c r="Y11" s="18"/>
      <c r="Z11" s="18"/>
    </row>
    <row r="12" ht="29.25" spans="1:31">
      <c r="A12">
        <v>2001</v>
      </c>
      <c r="B12" s="3">
        <v>46296</v>
      </c>
      <c r="C12" s="4" t="s">
        <v>99</v>
      </c>
      <c r="D12" s="4" t="s">
        <v>100</v>
      </c>
      <c r="E12" s="6" t="s">
        <v>101</v>
      </c>
      <c r="F12" s="4" t="s">
        <v>102</v>
      </c>
      <c r="G12" s="4" t="s">
        <v>103</v>
      </c>
      <c r="H12" s="4" t="str">
        <f t="shared" si="0"/>
        <v>69.45</v>
      </c>
      <c r="I12" s="3">
        <v>46296</v>
      </c>
      <c r="J12" s="6">
        <v>412</v>
      </c>
      <c r="K12" s="4">
        <v>554.2</v>
      </c>
      <c r="L12" s="4" t="s">
        <v>104</v>
      </c>
      <c r="M12" s="4" t="s">
        <v>105</v>
      </c>
      <c r="N12" s="4" t="s">
        <v>106</v>
      </c>
      <c r="O12" s="4">
        <v>368.42</v>
      </c>
      <c r="P12" s="4">
        <v>10.12</v>
      </c>
      <c r="Q12" s="6">
        <v>59.2</v>
      </c>
      <c r="R12" s="4">
        <v>4.25</v>
      </c>
      <c r="S12" s="4">
        <v>4.1</v>
      </c>
      <c r="T12">
        <f t="shared" si="1"/>
        <v>3.20999999999999</v>
      </c>
      <c r="U12" s="18">
        <v>78.5</v>
      </c>
      <c r="V12" s="18">
        <f t="shared" si="2"/>
        <v>147.95</v>
      </c>
      <c r="W12" s="18">
        <f t="shared" si="3"/>
        <v>4.68000000000001</v>
      </c>
      <c r="X12" s="18">
        <f t="shared" si="4"/>
        <v>966.2</v>
      </c>
      <c r="Y12" s="18"/>
      <c r="Z12" s="18"/>
    </row>
    <row r="13" ht="56" customHeight="1" spans="1:31">
      <c r="A13">
        <v>2001</v>
      </c>
      <c r="B13" s="3">
        <v>46327</v>
      </c>
      <c r="C13" s="4" t="s">
        <v>107</v>
      </c>
      <c r="D13" s="4" t="s">
        <v>108</v>
      </c>
      <c r="E13" s="4" t="s">
        <v>109</v>
      </c>
      <c r="F13" s="4" t="s">
        <v>110</v>
      </c>
      <c r="G13" s="4" t="s">
        <v>111</v>
      </c>
      <c r="H13" s="4" t="str">
        <f t="shared" si="0"/>
        <v>70.12</v>
      </c>
      <c r="I13" s="3">
        <v>46327</v>
      </c>
      <c r="J13" s="6">
        <v>418</v>
      </c>
      <c r="K13" s="4">
        <v>586.7</v>
      </c>
      <c r="L13" s="4" t="s">
        <v>112</v>
      </c>
      <c r="M13" s="6" t="s">
        <v>113</v>
      </c>
      <c r="N13" s="4" t="s">
        <v>114</v>
      </c>
      <c r="O13" s="4">
        <v>369.69</v>
      </c>
      <c r="P13" s="4">
        <v>9.98</v>
      </c>
      <c r="Q13" s="4">
        <v>56.4</v>
      </c>
      <c r="R13" s="4">
        <v>3.68</v>
      </c>
      <c r="S13" s="4">
        <v>4.75</v>
      </c>
      <c r="T13">
        <f t="shared" si="1"/>
        <v>5.56</v>
      </c>
      <c r="U13" s="18">
        <v>76.2</v>
      </c>
      <c r="V13" s="18">
        <f t="shared" si="2"/>
        <v>146.32</v>
      </c>
      <c r="W13" s="18">
        <f t="shared" si="3"/>
        <v>5.34</v>
      </c>
      <c r="X13" s="18">
        <f t="shared" si="4"/>
        <v>1004.7</v>
      </c>
      <c r="Y13" s="18"/>
      <c r="Z13" s="18"/>
    </row>
    <row r="14" ht="29.25" spans="1:31">
      <c r="A14">
        <v>2001</v>
      </c>
      <c r="B14" s="3">
        <v>46357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119</v>
      </c>
      <c r="H14" s="4" t="str">
        <f t="shared" si="0"/>
        <v>71.05</v>
      </c>
      <c r="I14" s="3">
        <v>46357</v>
      </c>
      <c r="J14" s="6">
        <v>424</v>
      </c>
      <c r="K14" s="6">
        <v>602.3</v>
      </c>
      <c r="L14" s="4" t="s">
        <v>120</v>
      </c>
      <c r="M14" s="6" t="s">
        <v>121</v>
      </c>
      <c r="N14" s="6" t="s">
        <v>122</v>
      </c>
      <c r="O14" s="4">
        <v>371.18</v>
      </c>
      <c r="P14" s="4">
        <v>9.88</v>
      </c>
      <c r="Q14" s="4">
        <v>48.9</v>
      </c>
      <c r="R14" s="4">
        <v>3.45</v>
      </c>
      <c r="S14" s="4">
        <v>4.92</v>
      </c>
      <c r="T14">
        <f t="shared" si="1"/>
        <v>7.01000000000001</v>
      </c>
      <c r="U14" s="18">
        <v>74.8</v>
      </c>
      <c r="V14" s="18">
        <f t="shared" si="2"/>
        <v>145.85</v>
      </c>
      <c r="W14" s="18">
        <f t="shared" si="3"/>
        <v>6.25</v>
      </c>
      <c r="X14" s="18">
        <f t="shared" si="4"/>
        <v>1026.3</v>
      </c>
      <c r="Y14" s="18">
        <f>AVERAGE(X3:X14)</f>
        <v>970.375</v>
      </c>
      <c r="Z14" s="18">
        <f>AVERAGE(W3:W5)</f>
        <v>4.38</v>
      </c>
      <c r="AA14">
        <f>(SUM(U3:U14)-SUM(U9:U11))/9</f>
        <v>77.3</v>
      </c>
      <c r="AB14">
        <f>AVERAGE(T3:T14)</f>
        <v>3.01916666666667</v>
      </c>
      <c r="AC14">
        <f>(SUM(T3:T14)-T12)/11</f>
        <v>3.00181818181818</v>
      </c>
      <c r="AD14">
        <f>AVERAGE(T3:T5)</f>
        <v>5.86333333333333</v>
      </c>
      <c r="AE14">
        <f>AVERAGE(V3:V14)</f>
        <v>147.349166666667</v>
      </c>
    </row>
    <row r="15" ht="60.75" spans="1:31">
      <c r="A15">
        <v>2002</v>
      </c>
      <c r="B15" s="6" t="s">
        <v>123</v>
      </c>
      <c r="C15" s="6" t="s">
        <v>7</v>
      </c>
      <c r="D15" s="6" t="s">
        <v>8</v>
      </c>
      <c r="E15" s="6" t="s">
        <v>124</v>
      </c>
      <c r="F15" s="6" t="s">
        <v>10</v>
      </c>
      <c r="G15" s="6" t="s">
        <v>125</v>
      </c>
      <c r="H15" s="4" t="str">
        <f t="shared" si="0"/>
        <v>650 氢</v>
      </c>
      <c r="I15" s="6" t="s">
        <v>123</v>
      </c>
      <c r="J15" s="6" t="s">
        <v>126</v>
      </c>
      <c r="K15" s="6" t="s">
        <v>126</v>
      </c>
      <c r="L15" s="6" t="s">
        <v>127</v>
      </c>
      <c r="M15" s="6" t="s">
        <v>15</v>
      </c>
      <c r="N15" s="6" t="s">
        <v>16</v>
      </c>
      <c r="O15" s="6" t="s">
        <v>17</v>
      </c>
      <c r="P15" s="6" t="s">
        <v>18</v>
      </c>
      <c r="Q15" s="6" t="s">
        <v>19</v>
      </c>
      <c r="R15" s="6" t="s">
        <v>128</v>
      </c>
      <c r="S15" s="6" t="s">
        <v>21</v>
      </c>
      <c r="T15" t="e">
        <f t="shared" si="1"/>
        <v>#VALUE!</v>
      </c>
      <c r="U15" s="19" t="s">
        <v>129</v>
      </c>
      <c r="V15" s="18" t="e">
        <f t="shared" si="2"/>
        <v>#VALUE!</v>
      </c>
      <c r="W15" s="18" t="e">
        <f t="shared" si="3"/>
        <v>#VALUE!</v>
      </c>
      <c r="X15" s="18">
        <f t="shared" si="4"/>
        <v>0</v>
      </c>
      <c r="Y15" s="18"/>
      <c r="Z15" s="18"/>
    </row>
    <row r="16" ht="29.25" spans="1:31">
      <c r="A16">
        <v>2002</v>
      </c>
      <c r="B16" s="3">
        <v>46023</v>
      </c>
      <c r="C16" s="4" t="s">
        <v>130</v>
      </c>
      <c r="D16" s="4" t="s">
        <v>131</v>
      </c>
      <c r="E16" s="4" t="s">
        <v>132</v>
      </c>
      <c r="F16" s="4" t="s">
        <v>133</v>
      </c>
      <c r="G16" s="4" t="s">
        <v>134</v>
      </c>
      <c r="H16" s="4" t="str">
        <f t="shared" si="0"/>
        <v>72.45</v>
      </c>
      <c r="I16" s="3">
        <v>46023</v>
      </c>
      <c r="J16" s="6">
        <v>418</v>
      </c>
      <c r="K16" s="6">
        <v>615.8</v>
      </c>
      <c r="L16" s="6" t="s">
        <v>135</v>
      </c>
      <c r="M16" s="6" t="s">
        <v>136</v>
      </c>
      <c r="N16" s="6" t="s">
        <v>137</v>
      </c>
      <c r="O16" s="4">
        <v>372.45</v>
      </c>
      <c r="P16" s="4">
        <v>9.87</v>
      </c>
      <c r="Q16" s="4">
        <v>41.2</v>
      </c>
      <c r="R16" s="4">
        <v>3.58</v>
      </c>
      <c r="S16" s="4">
        <v>5.12</v>
      </c>
      <c r="T16">
        <f t="shared" si="1"/>
        <v>7.64999999999999</v>
      </c>
      <c r="U16" s="18">
        <v>74.2</v>
      </c>
      <c r="V16" s="18">
        <f t="shared" si="2"/>
        <v>146.65</v>
      </c>
      <c r="W16" s="18">
        <f t="shared" si="3"/>
        <v>7.64</v>
      </c>
      <c r="X16" s="18">
        <f t="shared" si="4"/>
        <v>1033.8</v>
      </c>
      <c r="Y16" s="18"/>
      <c r="Z16" s="18"/>
    </row>
    <row r="17" ht="29.25" spans="1:31">
      <c r="A17">
        <v>2002</v>
      </c>
      <c r="B17" s="3">
        <v>46054</v>
      </c>
      <c r="C17" s="4" t="s">
        <v>138</v>
      </c>
      <c r="D17" s="4" t="s">
        <v>139</v>
      </c>
      <c r="E17" s="4" t="s">
        <v>140</v>
      </c>
      <c r="F17" s="4" t="s">
        <v>141</v>
      </c>
      <c r="G17" s="4" t="s">
        <v>142</v>
      </c>
      <c r="H17" s="4" t="str">
        <f t="shared" si="0"/>
        <v>73.10</v>
      </c>
      <c r="I17" s="3">
        <v>46054</v>
      </c>
      <c r="J17" s="6">
        <v>420</v>
      </c>
      <c r="K17" s="4">
        <v>610.4</v>
      </c>
      <c r="L17" s="4" t="s">
        <v>143</v>
      </c>
      <c r="M17" s="4" t="s">
        <v>144</v>
      </c>
      <c r="N17" s="4" t="s">
        <v>145</v>
      </c>
      <c r="O17" s="4">
        <v>373.37</v>
      </c>
      <c r="P17" s="4">
        <v>9.94</v>
      </c>
      <c r="Q17" s="4">
        <v>43.5</v>
      </c>
      <c r="R17" s="4">
        <v>3.82</v>
      </c>
      <c r="S17" s="4">
        <v>4.88</v>
      </c>
      <c r="T17">
        <f t="shared" si="1"/>
        <v>7.10000000000001</v>
      </c>
      <c r="U17" s="18">
        <v>74.8</v>
      </c>
      <c r="V17" s="18">
        <f t="shared" si="2"/>
        <v>147.9</v>
      </c>
      <c r="W17" s="18">
        <f t="shared" si="3"/>
        <v>8.28</v>
      </c>
      <c r="X17" s="18">
        <f t="shared" si="4"/>
        <v>1030.4</v>
      </c>
      <c r="Y17" s="18"/>
      <c r="Z17" s="18"/>
    </row>
    <row r="18" ht="29.25" spans="1:31">
      <c r="A18">
        <v>2002</v>
      </c>
      <c r="B18" s="3">
        <v>46082</v>
      </c>
      <c r="C18" s="4" t="s">
        <v>146</v>
      </c>
      <c r="D18" s="4" t="s">
        <v>147</v>
      </c>
      <c r="E18" s="4" t="s">
        <v>148</v>
      </c>
      <c r="F18" s="4" t="s">
        <v>149</v>
      </c>
      <c r="G18" s="4" t="s">
        <v>150</v>
      </c>
      <c r="H18" s="4" t="str">
        <f t="shared" si="0"/>
        <v>72.80</v>
      </c>
      <c r="I18" s="3">
        <v>46082</v>
      </c>
      <c r="J18" s="6">
        <v>412</v>
      </c>
      <c r="K18" s="4">
        <v>598.2</v>
      </c>
      <c r="L18" s="4" t="s">
        <v>151</v>
      </c>
      <c r="M18" s="4" t="s">
        <v>152</v>
      </c>
      <c r="N18" s="4" t="s">
        <v>153</v>
      </c>
      <c r="O18" s="4">
        <v>374.42</v>
      </c>
      <c r="P18" s="4">
        <v>10.08</v>
      </c>
      <c r="Q18" s="4">
        <v>50.8</v>
      </c>
      <c r="R18" s="4">
        <v>4.35</v>
      </c>
      <c r="S18" s="4">
        <v>4.45</v>
      </c>
      <c r="T18">
        <f t="shared" si="1"/>
        <v>5.44</v>
      </c>
      <c r="U18" s="18">
        <v>76.5</v>
      </c>
      <c r="V18" s="18">
        <f t="shared" si="2"/>
        <v>149.3</v>
      </c>
      <c r="W18" s="18">
        <f t="shared" si="3"/>
        <v>7.97</v>
      </c>
      <c r="X18" s="18">
        <f t="shared" si="4"/>
        <v>1010.2</v>
      </c>
      <c r="Y18" s="18"/>
      <c r="Z18" s="18"/>
    </row>
    <row r="19" ht="29.25" spans="1:31">
      <c r="A19">
        <v>2002</v>
      </c>
      <c r="B19" s="3">
        <v>46113</v>
      </c>
      <c r="C19" s="4" t="s">
        <v>154</v>
      </c>
      <c r="D19" s="4" t="s">
        <v>155</v>
      </c>
      <c r="E19" s="4" t="s">
        <v>156</v>
      </c>
      <c r="F19" s="4" t="s">
        <v>157</v>
      </c>
      <c r="G19" s="4" t="s">
        <v>158</v>
      </c>
      <c r="H19" s="4" t="str">
        <f t="shared" si="0"/>
        <v>71.90</v>
      </c>
      <c r="I19" s="3">
        <v>46113</v>
      </c>
      <c r="J19" s="6">
        <v>405</v>
      </c>
      <c r="K19" s="4">
        <v>572.5</v>
      </c>
      <c r="L19" s="4" t="s">
        <v>159</v>
      </c>
      <c r="M19" s="4" t="s">
        <v>160</v>
      </c>
      <c r="N19" s="4" t="s">
        <v>66</v>
      </c>
      <c r="O19" s="4">
        <v>375.39</v>
      </c>
      <c r="P19" s="4">
        <v>10.21</v>
      </c>
      <c r="Q19" s="4">
        <v>56.4</v>
      </c>
      <c r="R19" s="4">
        <v>4.92</v>
      </c>
      <c r="S19" s="4">
        <v>3.68</v>
      </c>
      <c r="T19">
        <f t="shared" si="1"/>
        <v>3.98999999999999</v>
      </c>
      <c r="U19" s="18">
        <v>78</v>
      </c>
      <c r="V19" s="18">
        <f t="shared" si="2"/>
        <v>149.9</v>
      </c>
      <c r="W19" s="18">
        <f t="shared" si="3"/>
        <v>7.05000000000001</v>
      </c>
      <c r="X19" s="18">
        <f t="shared" si="4"/>
        <v>977.5</v>
      </c>
      <c r="Y19" s="18"/>
      <c r="Z19" s="18"/>
    </row>
    <row r="20" ht="29.25" spans="1:31">
      <c r="A20">
        <v>2002</v>
      </c>
      <c r="B20" s="3">
        <v>46143</v>
      </c>
      <c r="C20" s="4" t="s">
        <v>161</v>
      </c>
      <c r="D20" s="4" t="s">
        <v>162</v>
      </c>
      <c r="E20" s="4" t="s">
        <v>163</v>
      </c>
      <c r="F20" s="4" t="s">
        <v>164</v>
      </c>
      <c r="G20" s="4" t="s">
        <v>165</v>
      </c>
      <c r="H20" s="4" t="str">
        <f t="shared" si="0"/>
        <v>70.45</v>
      </c>
      <c r="I20" s="3">
        <v>46143</v>
      </c>
      <c r="J20" s="6">
        <v>392</v>
      </c>
      <c r="K20" s="4">
        <v>545.1</v>
      </c>
      <c r="L20" s="4" t="s">
        <v>166</v>
      </c>
      <c r="M20" s="4" t="s">
        <v>167</v>
      </c>
      <c r="N20" s="6" t="s">
        <v>168</v>
      </c>
      <c r="O20" s="4">
        <v>375.93</v>
      </c>
      <c r="P20" s="4">
        <v>10.38</v>
      </c>
      <c r="Q20" s="4">
        <v>52.1</v>
      </c>
      <c r="R20" s="4">
        <v>5.58</v>
      </c>
      <c r="S20" s="4">
        <v>2.92</v>
      </c>
      <c r="T20">
        <f t="shared" si="1"/>
        <v>2.84</v>
      </c>
      <c r="U20" s="18">
        <v>79.2</v>
      </c>
      <c r="V20" s="18">
        <f t="shared" si="2"/>
        <v>149.65</v>
      </c>
      <c r="W20" s="18">
        <f t="shared" si="3"/>
        <v>5.59</v>
      </c>
      <c r="X20" s="18">
        <f t="shared" si="4"/>
        <v>937.1</v>
      </c>
      <c r="Y20" s="18"/>
      <c r="Z20" s="18"/>
    </row>
    <row r="21" ht="29.25" spans="1:31">
      <c r="A21">
        <v>2002</v>
      </c>
      <c r="B21" s="3">
        <v>46174</v>
      </c>
      <c r="C21" s="4" t="s">
        <v>169</v>
      </c>
      <c r="D21" s="4" t="s">
        <v>170</v>
      </c>
      <c r="E21" s="4" t="s">
        <v>171</v>
      </c>
      <c r="F21" s="4" t="s">
        <v>172</v>
      </c>
      <c r="G21" s="4" t="s">
        <v>173</v>
      </c>
      <c r="H21" s="4" t="str">
        <f t="shared" si="0"/>
        <v>69.12</v>
      </c>
      <c r="I21" s="3">
        <v>46174</v>
      </c>
      <c r="J21" s="6">
        <v>385</v>
      </c>
      <c r="K21" s="4">
        <v>518.3</v>
      </c>
      <c r="L21" s="6" t="s">
        <v>174</v>
      </c>
      <c r="M21" s="4" t="s">
        <v>175</v>
      </c>
      <c r="N21" s="4" t="s">
        <v>176</v>
      </c>
      <c r="O21" s="4">
        <v>375.32</v>
      </c>
      <c r="P21" s="4">
        <v>10.55</v>
      </c>
      <c r="Q21" s="4">
        <v>49.5</v>
      </c>
      <c r="R21" s="4">
        <v>6.42</v>
      </c>
      <c r="S21" s="4">
        <v>2.15</v>
      </c>
      <c r="T21">
        <f t="shared" si="1"/>
        <v>0.280000000000001</v>
      </c>
      <c r="U21" s="18">
        <v>81.8</v>
      </c>
      <c r="V21" s="18">
        <f t="shared" si="2"/>
        <v>150.92</v>
      </c>
      <c r="W21" s="18">
        <f t="shared" si="3"/>
        <v>4.25</v>
      </c>
      <c r="X21" s="18">
        <f t="shared" si="4"/>
        <v>903.3</v>
      </c>
      <c r="Y21" s="18"/>
      <c r="Z21" s="18"/>
    </row>
    <row r="22" ht="29.25" spans="1:31">
      <c r="A22">
        <v>2002</v>
      </c>
      <c r="B22" s="3">
        <v>46204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tr">
        <f t="shared" si="0"/>
        <v>68.35</v>
      </c>
      <c r="I22" s="3">
        <v>46204</v>
      </c>
      <c r="J22" s="6">
        <v>378</v>
      </c>
      <c r="K22" s="6">
        <v>502.4</v>
      </c>
      <c r="L22" s="4" t="s">
        <v>182</v>
      </c>
      <c r="M22" s="6" t="s">
        <v>183</v>
      </c>
      <c r="N22" s="4" t="s">
        <v>137</v>
      </c>
      <c r="O22" s="4">
        <v>373.28</v>
      </c>
      <c r="P22" s="6">
        <v>10.71</v>
      </c>
      <c r="Q22" s="4">
        <v>47.2</v>
      </c>
      <c r="R22" s="6">
        <v>7.15</v>
      </c>
      <c r="S22" s="6">
        <v>1.72</v>
      </c>
      <c r="T22">
        <f t="shared" si="1"/>
        <v>-1.07000000000001</v>
      </c>
      <c r="U22" s="18">
        <v>83.2</v>
      </c>
      <c r="V22" s="18">
        <f t="shared" si="2"/>
        <v>151.55</v>
      </c>
      <c r="W22" s="18">
        <f t="shared" si="3"/>
        <v>3.47</v>
      </c>
      <c r="X22" s="18">
        <f t="shared" si="4"/>
        <v>880.4</v>
      </c>
      <c r="Y22" s="18"/>
      <c r="Z22" s="18"/>
    </row>
    <row r="23" ht="29.25" spans="1:31">
      <c r="A23">
        <v>2002</v>
      </c>
      <c r="B23" s="3">
        <v>46235</v>
      </c>
      <c r="C23" s="4" t="s">
        <v>184</v>
      </c>
      <c r="D23" s="4" t="s">
        <v>185</v>
      </c>
      <c r="E23" s="4" t="s">
        <v>186</v>
      </c>
      <c r="F23" s="4" t="s">
        <v>187</v>
      </c>
      <c r="G23" s="4" t="s">
        <v>188</v>
      </c>
      <c r="H23" s="4" t="str">
        <f t="shared" si="0"/>
        <v>69.10</v>
      </c>
      <c r="I23" s="3">
        <v>46235</v>
      </c>
      <c r="J23" s="6">
        <v>382</v>
      </c>
      <c r="K23" s="4">
        <v>510.6</v>
      </c>
      <c r="L23" s="4" t="s">
        <v>189</v>
      </c>
      <c r="M23" s="4" t="s">
        <v>49</v>
      </c>
      <c r="N23" s="4" t="s">
        <v>58</v>
      </c>
      <c r="O23" s="4">
        <v>371.37</v>
      </c>
      <c r="P23" s="6">
        <v>10.75</v>
      </c>
      <c r="Q23" s="4">
        <v>48.8</v>
      </c>
      <c r="R23" s="4">
        <v>6.55</v>
      </c>
      <c r="S23" s="4">
        <v>1.95</v>
      </c>
      <c r="T23">
        <f t="shared" si="1"/>
        <v>-0.329999999999998</v>
      </c>
      <c r="U23" s="18">
        <v>82.5</v>
      </c>
      <c r="V23" s="18">
        <f t="shared" si="2"/>
        <v>151.6</v>
      </c>
      <c r="W23" s="18">
        <f t="shared" si="3"/>
        <v>4.20999999999999</v>
      </c>
      <c r="X23" s="18">
        <f t="shared" si="4"/>
        <v>892.6</v>
      </c>
      <c r="Y23" s="18"/>
      <c r="Z23" s="18"/>
    </row>
    <row r="24" ht="29.25" spans="1:31">
      <c r="A24">
        <v>2002</v>
      </c>
      <c r="B24" s="3">
        <v>46266</v>
      </c>
      <c r="C24" s="4" t="s">
        <v>190</v>
      </c>
      <c r="D24" s="4" t="s">
        <v>191</v>
      </c>
      <c r="E24" s="4" t="s">
        <v>192</v>
      </c>
      <c r="F24" s="4" t="s">
        <v>193</v>
      </c>
      <c r="G24" s="4" t="s">
        <v>194</v>
      </c>
      <c r="H24" s="4" t="str">
        <f t="shared" si="0"/>
        <v>70.85</v>
      </c>
      <c r="I24" s="3">
        <v>46266</v>
      </c>
      <c r="J24" s="6">
        <v>390</v>
      </c>
      <c r="K24" s="4">
        <v>535.4</v>
      </c>
      <c r="L24" s="4" t="s">
        <v>195</v>
      </c>
      <c r="M24" s="4" t="s">
        <v>196</v>
      </c>
      <c r="N24" s="4" t="s">
        <v>197</v>
      </c>
      <c r="O24" s="4">
        <v>369.34</v>
      </c>
      <c r="P24" s="4">
        <v>10.48</v>
      </c>
      <c r="Q24" s="4">
        <v>51.2</v>
      </c>
      <c r="R24" s="4">
        <v>5.48</v>
      </c>
      <c r="S24" s="4">
        <v>3.05</v>
      </c>
      <c r="T24">
        <f t="shared" si="1"/>
        <v>2.12</v>
      </c>
      <c r="U24" s="18">
        <v>80.1</v>
      </c>
      <c r="V24" s="18">
        <f t="shared" si="2"/>
        <v>150.95</v>
      </c>
      <c r="W24" s="18">
        <f t="shared" si="3"/>
        <v>5.94</v>
      </c>
      <c r="X24" s="18">
        <f t="shared" si="4"/>
        <v>925.4</v>
      </c>
      <c r="Y24" s="18"/>
      <c r="Z24" s="18"/>
    </row>
    <row r="25" ht="29.25" spans="1:31">
      <c r="A25">
        <v>2002</v>
      </c>
      <c r="B25" s="3">
        <v>46296</v>
      </c>
      <c r="C25" s="4" t="s">
        <v>198</v>
      </c>
      <c r="D25" s="4" t="s">
        <v>199</v>
      </c>
      <c r="E25" s="4" t="s">
        <v>200</v>
      </c>
      <c r="F25" s="4" t="s">
        <v>201</v>
      </c>
      <c r="G25" s="4" t="s">
        <v>202</v>
      </c>
      <c r="H25" s="4" t="str">
        <f t="shared" si="0"/>
        <v>72.15</v>
      </c>
      <c r="I25" s="3">
        <v>46296</v>
      </c>
      <c r="J25" s="6">
        <v>402</v>
      </c>
      <c r="K25" s="4">
        <v>560.8</v>
      </c>
      <c r="L25" s="4" t="s">
        <v>203</v>
      </c>
      <c r="M25" s="4" t="s">
        <v>204</v>
      </c>
      <c r="N25" s="4" t="s">
        <v>122</v>
      </c>
      <c r="O25" s="4">
        <v>369.83</v>
      </c>
      <c r="P25" s="4">
        <v>10.15</v>
      </c>
      <c r="Q25" s="6">
        <v>58.6</v>
      </c>
      <c r="R25" s="4">
        <v>4.65</v>
      </c>
      <c r="S25" s="4">
        <v>4.28</v>
      </c>
      <c r="T25">
        <f t="shared" si="1"/>
        <v>4.06999999999999</v>
      </c>
      <c r="U25" s="18">
        <v>78.2</v>
      </c>
      <c r="V25" s="18">
        <f t="shared" si="2"/>
        <v>150.35</v>
      </c>
      <c r="W25" s="18">
        <f t="shared" si="3"/>
        <v>7.23</v>
      </c>
      <c r="X25" s="18">
        <f t="shared" si="4"/>
        <v>962.8</v>
      </c>
      <c r="Y25" s="18"/>
      <c r="Z25" s="18"/>
    </row>
    <row r="26" ht="29.25" spans="1:31">
      <c r="A26">
        <v>2002</v>
      </c>
      <c r="B26" s="3">
        <v>46327</v>
      </c>
      <c r="C26" s="4" t="s">
        <v>205</v>
      </c>
      <c r="D26" s="4" t="s">
        <v>206</v>
      </c>
      <c r="E26" s="4" t="s">
        <v>207</v>
      </c>
      <c r="F26" s="4" t="s">
        <v>208</v>
      </c>
      <c r="G26" s="4" t="s">
        <v>209</v>
      </c>
      <c r="H26" s="4" t="str">
        <f t="shared" si="0"/>
        <v>73.50</v>
      </c>
      <c r="I26" s="3">
        <v>46327</v>
      </c>
      <c r="J26" s="6">
        <v>408</v>
      </c>
      <c r="K26" s="4">
        <v>592.3</v>
      </c>
      <c r="L26" s="4" t="s">
        <v>210</v>
      </c>
      <c r="M26" s="4" t="s">
        <v>211</v>
      </c>
      <c r="N26" s="4" t="s">
        <v>212</v>
      </c>
      <c r="O26" s="4">
        <v>371.26</v>
      </c>
      <c r="P26" s="4">
        <v>10.01</v>
      </c>
      <c r="Q26" s="6">
        <v>61.4</v>
      </c>
      <c r="R26" s="4">
        <v>3.92</v>
      </c>
      <c r="S26" s="4">
        <v>5.25</v>
      </c>
      <c r="T26">
        <f t="shared" si="1"/>
        <v>6.31</v>
      </c>
      <c r="U26" s="18">
        <v>76</v>
      </c>
      <c r="V26" s="18">
        <f t="shared" si="2"/>
        <v>149.5</v>
      </c>
      <c r="W26" s="18">
        <f t="shared" si="3"/>
        <v>8.56999999999999</v>
      </c>
      <c r="X26" s="18">
        <f t="shared" si="4"/>
        <v>1000.3</v>
      </c>
      <c r="Y26" s="18"/>
      <c r="Z26" s="18"/>
    </row>
    <row r="27" ht="30" spans="1:31">
      <c r="A27">
        <v>2002</v>
      </c>
      <c r="B27" s="3">
        <v>46357</v>
      </c>
      <c r="C27" s="4" t="s">
        <v>213</v>
      </c>
      <c r="D27" s="4" t="s">
        <v>214</v>
      </c>
      <c r="E27" s="4" t="s">
        <v>215</v>
      </c>
      <c r="F27" s="4" t="s">
        <v>216</v>
      </c>
      <c r="G27" s="6" t="s">
        <v>217</v>
      </c>
      <c r="H27" s="4" t="str">
        <f t="shared" si="0"/>
        <v>74.88</v>
      </c>
      <c r="I27" s="3">
        <v>46357</v>
      </c>
      <c r="J27" s="6">
        <v>415</v>
      </c>
      <c r="K27" s="6">
        <v>608.7</v>
      </c>
      <c r="L27" s="4" t="s">
        <v>218</v>
      </c>
      <c r="M27" s="6" t="s">
        <v>219</v>
      </c>
      <c r="N27" s="6" t="s">
        <v>220</v>
      </c>
      <c r="O27" s="4">
        <v>372.68</v>
      </c>
      <c r="P27" s="4">
        <v>9.91</v>
      </c>
      <c r="Q27" s="4">
        <v>45.7</v>
      </c>
      <c r="R27" s="4">
        <v>3.7</v>
      </c>
      <c r="S27" s="4">
        <v>5.4</v>
      </c>
      <c r="T27">
        <f t="shared" si="1"/>
        <v>7.86</v>
      </c>
      <c r="U27" s="18">
        <v>74.5</v>
      </c>
      <c r="V27" s="18">
        <f t="shared" si="2"/>
        <v>149.38</v>
      </c>
      <c r="W27" s="18">
        <f t="shared" si="3"/>
        <v>9.92999999999999</v>
      </c>
      <c r="X27" s="18">
        <f t="shared" si="4"/>
        <v>1023.7</v>
      </c>
      <c r="Y27" s="18">
        <f>AVERAGE(X16:X27)</f>
        <v>964.791666666667</v>
      </c>
      <c r="Z27" s="18">
        <f>AVERAGE(W16:W18)</f>
        <v>7.96333333333333</v>
      </c>
      <c r="AA27">
        <f>(SUM(U16:U27)-SUM(U22:U24))/9</f>
        <v>77.0222222222222</v>
      </c>
      <c r="AB27">
        <f>AVERAGE(T16:T27)</f>
        <v>3.855</v>
      </c>
      <c r="AC27">
        <f>AB27</f>
        <v>3.855</v>
      </c>
      <c r="AD27">
        <f>AVERAGE(T16:T18)</f>
        <v>6.73</v>
      </c>
      <c r="AE27">
        <f>AVERAGE(V16:V27)</f>
        <v>149.804166666667</v>
      </c>
    </row>
    <row r="28" ht="60.75" spans="1:31">
      <c r="B28" s="6" t="s">
        <v>221</v>
      </c>
      <c r="C28" s="6" t="s">
        <v>7</v>
      </c>
      <c r="D28" s="6" t="s">
        <v>8</v>
      </c>
      <c r="E28" s="6" t="s">
        <v>124</v>
      </c>
      <c r="F28" s="6" t="s">
        <v>10</v>
      </c>
      <c r="G28" s="6" t="s">
        <v>125</v>
      </c>
      <c r="H28" s="4" t="str">
        <f t="shared" si="0"/>
        <v>650 氢</v>
      </c>
      <c r="I28" s="6" t="s">
        <v>221</v>
      </c>
      <c r="J28" s="6" t="s">
        <v>126</v>
      </c>
      <c r="K28" s="6" t="s">
        <v>126</v>
      </c>
      <c r="L28" s="6" t="s">
        <v>127</v>
      </c>
      <c r="M28" s="6" t="s">
        <v>15</v>
      </c>
      <c r="N28" s="6" t="s">
        <v>16</v>
      </c>
      <c r="O28" s="6" t="s">
        <v>17</v>
      </c>
      <c r="P28" s="6" t="s">
        <v>18</v>
      </c>
      <c r="Q28" s="6" t="s">
        <v>19</v>
      </c>
      <c r="R28" s="6" t="s">
        <v>128</v>
      </c>
      <c r="S28" s="6" t="s">
        <v>21</v>
      </c>
      <c r="T28" t="e">
        <f t="shared" si="1"/>
        <v>#VALUE!</v>
      </c>
      <c r="U28" s="19" t="s">
        <v>129</v>
      </c>
      <c r="V28" s="18" t="e">
        <f t="shared" si="2"/>
        <v>#VALUE!</v>
      </c>
      <c r="W28" s="18" t="e">
        <f t="shared" si="3"/>
        <v>#VALUE!</v>
      </c>
      <c r="X28" s="18">
        <f t="shared" si="4"/>
        <v>0</v>
      </c>
      <c r="Y28" s="18"/>
      <c r="Z28" s="18"/>
    </row>
    <row r="29" ht="30.75" spans="1:31">
      <c r="A29">
        <v>2003</v>
      </c>
      <c r="B29" s="3">
        <v>46023</v>
      </c>
      <c r="C29" s="4" t="s">
        <v>222</v>
      </c>
      <c r="D29" s="4" t="s">
        <v>223</v>
      </c>
      <c r="E29" s="4" t="s">
        <v>224</v>
      </c>
      <c r="F29" s="4" t="s">
        <v>225</v>
      </c>
      <c r="G29" s="4" t="s">
        <v>226</v>
      </c>
      <c r="H29" s="4" t="str">
        <f t="shared" si="0"/>
        <v>75.12</v>
      </c>
      <c r="I29" s="3">
        <v>46023</v>
      </c>
      <c r="J29" s="6">
        <v>402</v>
      </c>
      <c r="K29" s="6">
        <v>604.2</v>
      </c>
      <c r="L29" s="6" t="s">
        <v>227</v>
      </c>
      <c r="M29" s="6" t="s">
        <v>228</v>
      </c>
      <c r="N29" s="6" t="s">
        <v>168</v>
      </c>
      <c r="O29" s="4">
        <v>374.06</v>
      </c>
      <c r="P29" s="4">
        <v>9.91</v>
      </c>
      <c r="Q29" s="4">
        <v>38.5</v>
      </c>
      <c r="R29" s="4">
        <v>3.52</v>
      </c>
      <c r="S29" s="4">
        <v>5.08</v>
      </c>
      <c r="T29">
        <f t="shared" si="1"/>
        <v>8.41</v>
      </c>
      <c r="U29" s="18">
        <v>74</v>
      </c>
      <c r="V29" s="18">
        <f t="shared" si="2"/>
        <v>149.12</v>
      </c>
      <c r="W29" s="18">
        <f t="shared" si="3"/>
        <v>10.16</v>
      </c>
      <c r="X29" s="18">
        <f t="shared" si="4"/>
        <v>1006.2</v>
      </c>
    </row>
    <row r="30" ht="29.25" spans="1:31">
      <c r="A30">
        <v>2003</v>
      </c>
      <c r="B30" s="3">
        <v>46054</v>
      </c>
      <c r="C30" s="4" t="s">
        <v>229</v>
      </c>
      <c r="D30" s="4" t="s">
        <v>230</v>
      </c>
      <c r="E30" s="4" t="s">
        <v>231</v>
      </c>
      <c r="F30" s="4" t="s">
        <v>232</v>
      </c>
      <c r="G30" s="4" t="s">
        <v>233</v>
      </c>
      <c r="H30" s="4" t="str">
        <f t="shared" si="0"/>
        <v>75.85</v>
      </c>
      <c r="I30" s="3">
        <v>46054</v>
      </c>
      <c r="J30" s="6">
        <v>405</v>
      </c>
      <c r="K30" s="4">
        <v>595.8</v>
      </c>
      <c r="L30" s="4" t="s">
        <v>234</v>
      </c>
      <c r="M30" s="4" t="s">
        <v>235</v>
      </c>
      <c r="N30" s="4" t="s">
        <v>236</v>
      </c>
      <c r="O30" s="4">
        <v>374.87</v>
      </c>
      <c r="P30" s="4">
        <v>10.02</v>
      </c>
      <c r="Q30" s="4">
        <v>40.2</v>
      </c>
      <c r="R30" s="4">
        <v>3.75</v>
      </c>
      <c r="S30" s="4">
        <v>4.82</v>
      </c>
      <c r="T30">
        <f t="shared" si="1"/>
        <v>7.86</v>
      </c>
      <c r="U30" s="18">
        <v>74.6</v>
      </c>
      <c r="V30" s="18">
        <f t="shared" si="2"/>
        <v>150.45</v>
      </c>
      <c r="W30" s="18">
        <f t="shared" si="3"/>
        <v>10.88</v>
      </c>
      <c r="X30" s="18">
        <f t="shared" si="4"/>
        <v>1000.8</v>
      </c>
      <c r="Y30" s="18"/>
      <c r="Z30" s="18"/>
    </row>
    <row r="31" ht="29.25" spans="1:31">
      <c r="A31">
        <v>2003</v>
      </c>
      <c r="B31" s="3">
        <v>46082</v>
      </c>
      <c r="C31" s="4" t="s">
        <v>237</v>
      </c>
      <c r="D31" s="4" t="s">
        <v>238</v>
      </c>
      <c r="E31" s="4" t="s">
        <v>239</v>
      </c>
      <c r="F31" s="4" t="s">
        <v>240</v>
      </c>
      <c r="G31" s="4" t="s">
        <v>241</v>
      </c>
      <c r="H31" s="4" t="str">
        <f t="shared" si="0"/>
        <v>74.40</v>
      </c>
      <c r="I31" s="3">
        <v>46082</v>
      </c>
      <c r="J31" s="6">
        <v>398</v>
      </c>
      <c r="K31" s="4">
        <v>572.3</v>
      </c>
      <c r="L31" s="4" t="s">
        <v>242</v>
      </c>
      <c r="M31" s="4" t="s">
        <v>219</v>
      </c>
      <c r="N31" s="4" t="s">
        <v>243</v>
      </c>
      <c r="O31" s="4">
        <v>375.92</v>
      </c>
      <c r="P31" s="4">
        <v>10.15</v>
      </c>
      <c r="Q31" s="4">
        <v>45.6</v>
      </c>
      <c r="R31" s="4">
        <v>4.28</v>
      </c>
      <c r="S31" s="4">
        <v>4.35</v>
      </c>
      <c r="T31">
        <f t="shared" si="1"/>
        <v>6.3</v>
      </c>
      <c r="U31" s="18">
        <v>76.2</v>
      </c>
      <c r="V31" s="18">
        <f t="shared" si="2"/>
        <v>150.6</v>
      </c>
      <c r="W31" s="18">
        <f t="shared" si="3"/>
        <v>9.41000000000001</v>
      </c>
      <c r="X31" s="18">
        <f t="shared" si="4"/>
        <v>970.3</v>
      </c>
      <c r="Y31" s="18"/>
      <c r="Z31" s="18"/>
    </row>
    <row r="32" ht="29.25" spans="1:31">
      <c r="A32">
        <v>2003</v>
      </c>
      <c r="B32" s="3">
        <v>46113</v>
      </c>
      <c r="C32" s="4" t="s">
        <v>244</v>
      </c>
      <c r="D32" s="4" t="s">
        <v>245</v>
      </c>
      <c r="E32" s="4" t="s">
        <v>246</v>
      </c>
      <c r="F32" s="4" t="s">
        <v>247</v>
      </c>
      <c r="G32" s="4" t="s">
        <v>248</v>
      </c>
      <c r="H32" s="4" t="str">
        <f t="shared" si="0"/>
        <v>73.15</v>
      </c>
      <c r="I32" s="3">
        <v>46113</v>
      </c>
      <c r="J32" s="6">
        <v>392</v>
      </c>
      <c r="K32" s="4">
        <v>548.6</v>
      </c>
      <c r="L32" s="4" t="s">
        <v>249</v>
      </c>
      <c r="M32" s="4" t="s">
        <v>250</v>
      </c>
      <c r="N32" s="4" t="s">
        <v>153</v>
      </c>
      <c r="O32" s="4">
        <v>377.1</v>
      </c>
      <c r="P32" s="4">
        <v>10.28</v>
      </c>
      <c r="Q32" s="4">
        <v>48.9</v>
      </c>
      <c r="R32" s="4">
        <v>4.85</v>
      </c>
      <c r="S32" s="4">
        <v>3.72</v>
      </c>
      <c r="T32">
        <f t="shared" si="1"/>
        <v>4.75</v>
      </c>
      <c r="U32" s="18">
        <v>77.8</v>
      </c>
      <c r="V32" s="18">
        <f t="shared" si="2"/>
        <v>150.95</v>
      </c>
      <c r="W32" s="18">
        <f t="shared" si="3"/>
        <v>8.15000000000001</v>
      </c>
      <c r="X32" s="18">
        <f t="shared" si="4"/>
        <v>940.6</v>
      </c>
      <c r="Y32" s="18"/>
      <c r="Z32" s="18"/>
    </row>
    <row r="33" ht="29.25" spans="1:31">
      <c r="A33">
        <v>2003</v>
      </c>
      <c r="B33" s="3">
        <v>46143</v>
      </c>
      <c r="C33" s="4" t="s">
        <v>251</v>
      </c>
      <c r="D33" s="4" t="s">
        <v>252</v>
      </c>
      <c r="E33" s="4" t="s">
        <v>253</v>
      </c>
      <c r="F33" s="4" t="s">
        <v>254</v>
      </c>
      <c r="G33" s="4" t="s">
        <v>255</v>
      </c>
      <c r="H33" s="4" t="str">
        <f t="shared" si="0"/>
        <v>71.80</v>
      </c>
      <c r="I33" s="3">
        <v>46143</v>
      </c>
      <c r="J33" s="6">
        <v>380</v>
      </c>
      <c r="K33" s="4">
        <v>521.4</v>
      </c>
      <c r="L33" s="4" t="s">
        <v>256</v>
      </c>
      <c r="M33" s="4" t="s">
        <v>257</v>
      </c>
      <c r="N33" s="4" t="s">
        <v>220</v>
      </c>
      <c r="O33" s="4">
        <v>378.18</v>
      </c>
      <c r="P33" s="4">
        <v>10.46</v>
      </c>
      <c r="Q33" s="4">
        <v>51.5</v>
      </c>
      <c r="R33" s="4">
        <v>5.42</v>
      </c>
      <c r="S33" s="4">
        <v>3.05</v>
      </c>
      <c r="T33">
        <f t="shared" si="1"/>
        <v>3.5</v>
      </c>
      <c r="U33" s="18">
        <v>79.1</v>
      </c>
      <c r="V33" s="18">
        <f t="shared" si="2"/>
        <v>150.9</v>
      </c>
      <c r="W33" s="18">
        <f t="shared" si="3"/>
        <v>6.78999999999999</v>
      </c>
      <c r="X33" s="18">
        <f t="shared" si="4"/>
        <v>901.4</v>
      </c>
      <c r="Y33" s="18"/>
      <c r="Z33" s="18"/>
    </row>
    <row r="34" ht="30.75" spans="1:31">
      <c r="A34">
        <v>2003</v>
      </c>
      <c r="B34" s="3">
        <v>46174</v>
      </c>
      <c r="C34" s="4" t="s">
        <v>258</v>
      </c>
      <c r="D34" s="4" t="s">
        <v>259</v>
      </c>
      <c r="E34" s="4" t="s">
        <v>260</v>
      </c>
      <c r="F34" s="4" t="s">
        <v>261</v>
      </c>
      <c r="G34" s="4" t="s">
        <v>262</v>
      </c>
      <c r="H34" s="4" t="str">
        <f t="shared" si="0"/>
        <v>70.25</v>
      </c>
      <c r="I34" s="3">
        <v>46174</v>
      </c>
      <c r="J34" s="6">
        <v>372</v>
      </c>
      <c r="K34" s="4">
        <v>495.7</v>
      </c>
      <c r="L34" s="6" t="s">
        <v>263</v>
      </c>
      <c r="M34" s="4" t="s">
        <v>264</v>
      </c>
      <c r="N34" s="4" t="s">
        <v>212</v>
      </c>
      <c r="O34" s="4">
        <v>377.51</v>
      </c>
      <c r="P34" s="4">
        <v>10.63</v>
      </c>
      <c r="Q34" s="4">
        <v>47.8</v>
      </c>
      <c r="R34" s="4">
        <v>6.25</v>
      </c>
      <c r="S34" s="4">
        <v>2.24</v>
      </c>
      <c r="T34">
        <f t="shared" si="1"/>
        <v>1.14</v>
      </c>
      <c r="U34" s="18">
        <v>81.5</v>
      </c>
      <c r="V34" s="18">
        <f t="shared" si="2"/>
        <v>151.75</v>
      </c>
      <c r="W34" s="18">
        <f t="shared" si="3"/>
        <v>5.23</v>
      </c>
      <c r="X34" s="18">
        <f t="shared" si="4"/>
        <v>867.7</v>
      </c>
      <c r="Y34" s="18"/>
      <c r="Z34" s="18"/>
    </row>
    <row r="35" ht="29.25" spans="1:31">
      <c r="A35">
        <v>2003</v>
      </c>
      <c r="B35" s="3">
        <v>46204</v>
      </c>
      <c r="C35" s="4" t="s">
        <v>265</v>
      </c>
      <c r="D35" s="4" t="s">
        <v>266</v>
      </c>
      <c r="E35" s="4" t="s">
        <v>267</v>
      </c>
      <c r="F35" s="4" t="s">
        <v>268</v>
      </c>
      <c r="G35" s="4" t="s">
        <v>269</v>
      </c>
      <c r="H35" s="4" t="str">
        <f t="shared" si="0"/>
        <v>69.40</v>
      </c>
      <c r="I35" s="3">
        <v>46204</v>
      </c>
      <c r="J35" s="6">
        <v>365</v>
      </c>
      <c r="K35" s="6">
        <v>488.2</v>
      </c>
      <c r="L35" s="6" t="s">
        <v>270</v>
      </c>
      <c r="M35" s="4" t="s">
        <v>271</v>
      </c>
      <c r="N35" s="4" t="s">
        <v>176</v>
      </c>
      <c r="O35" s="4">
        <v>375.43</v>
      </c>
      <c r="P35" s="6">
        <v>10.79</v>
      </c>
      <c r="Q35" s="4">
        <v>46.2</v>
      </c>
      <c r="R35" s="6">
        <v>7.08</v>
      </c>
      <c r="S35" s="6">
        <v>1.85</v>
      </c>
      <c r="T35">
        <f t="shared" si="1"/>
        <v>-0.409999999999997</v>
      </c>
      <c r="U35" s="18">
        <v>83.1</v>
      </c>
      <c r="V35" s="18">
        <f t="shared" si="2"/>
        <v>152.5</v>
      </c>
      <c r="W35" s="18">
        <f t="shared" si="3"/>
        <v>4.37</v>
      </c>
      <c r="X35" s="18">
        <f t="shared" si="4"/>
        <v>853.2</v>
      </c>
      <c r="Y35" s="18"/>
      <c r="Z35" s="18"/>
    </row>
    <row r="36" ht="29.25" spans="1:31">
      <c r="A36">
        <v>2003</v>
      </c>
      <c r="B36" s="3">
        <v>46235</v>
      </c>
      <c r="C36" s="4" t="s">
        <v>272</v>
      </c>
      <c r="D36" s="4" t="s">
        <v>273</v>
      </c>
      <c r="E36" s="4" t="s">
        <v>274</v>
      </c>
      <c r="F36" s="4" t="s">
        <v>275</v>
      </c>
      <c r="G36" s="4" t="s">
        <v>276</v>
      </c>
      <c r="H36" s="4" t="str">
        <f t="shared" si="0"/>
        <v>70.80</v>
      </c>
      <c r="I36" s="3">
        <v>46235</v>
      </c>
      <c r="J36" s="6">
        <v>368</v>
      </c>
      <c r="K36" s="4">
        <v>495.6</v>
      </c>
      <c r="L36" s="4" t="s">
        <v>277</v>
      </c>
      <c r="M36" s="4" t="s">
        <v>278</v>
      </c>
      <c r="N36" s="6" t="s">
        <v>243</v>
      </c>
      <c r="O36" s="4">
        <v>373.18</v>
      </c>
      <c r="P36" s="6">
        <v>10.84</v>
      </c>
      <c r="Q36" s="4">
        <v>49.4</v>
      </c>
      <c r="R36" s="4">
        <v>6.34</v>
      </c>
      <c r="S36" s="4">
        <v>2.18</v>
      </c>
      <c r="T36">
        <f t="shared" si="1"/>
        <v>0.539999999999992</v>
      </c>
      <c r="U36" s="18">
        <v>82.2</v>
      </c>
      <c r="V36" s="18">
        <f t="shared" si="2"/>
        <v>153</v>
      </c>
      <c r="W36" s="18">
        <f t="shared" si="3"/>
        <v>5.75</v>
      </c>
      <c r="X36" s="18">
        <f t="shared" si="4"/>
        <v>863.6</v>
      </c>
      <c r="Y36" s="18"/>
      <c r="Z36" s="18"/>
    </row>
    <row r="37" ht="29.25" spans="1:31">
      <c r="A37">
        <v>2003</v>
      </c>
      <c r="B37" s="3">
        <v>46266</v>
      </c>
      <c r="C37" s="4" t="s">
        <v>279</v>
      </c>
      <c r="D37" s="4" t="s">
        <v>280</v>
      </c>
      <c r="E37" s="4" t="s">
        <v>281</v>
      </c>
      <c r="F37" s="4" t="s">
        <v>282</v>
      </c>
      <c r="G37" s="4" t="s">
        <v>283</v>
      </c>
      <c r="H37" s="4" t="str">
        <f t="shared" si="0"/>
        <v>72.65</v>
      </c>
      <c r="I37" s="3">
        <v>46266</v>
      </c>
      <c r="J37" s="6">
        <v>375</v>
      </c>
      <c r="K37" s="4">
        <v>512.4</v>
      </c>
      <c r="L37" s="4" t="s">
        <v>284</v>
      </c>
      <c r="M37" s="4" t="s">
        <v>285</v>
      </c>
      <c r="N37" s="4" t="s">
        <v>168</v>
      </c>
      <c r="O37" s="4">
        <v>371.37</v>
      </c>
      <c r="P37" s="4">
        <v>10.55</v>
      </c>
      <c r="Q37" s="4">
        <v>52.1</v>
      </c>
      <c r="R37" s="4">
        <v>5.25</v>
      </c>
      <c r="S37" s="4">
        <v>3.12</v>
      </c>
      <c r="T37">
        <f t="shared" si="1"/>
        <v>2.98</v>
      </c>
      <c r="U37" s="18">
        <v>79.8</v>
      </c>
      <c r="V37" s="18">
        <f t="shared" si="2"/>
        <v>152.45</v>
      </c>
      <c r="W37" s="18">
        <f t="shared" si="3"/>
        <v>7.59</v>
      </c>
      <c r="X37" s="18">
        <f t="shared" si="4"/>
        <v>887.4</v>
      </c>
      <c r="Y37" s="18"/>
      <c r="Z37" s="18"/>
    </row>
    <row r="38" ht="30" spans="1:31">
      <c r="A38">
        <v>2003</v>
      </c>
      <c r="B38" s="3">
        <v>46296</v>
      </c>
      <c r="C38" s="4" t="s">
        <v>286</v>
      </c>
      <c r="D38" s="4" t="s">
        <v>287</v>
      </c>
      <c r="E38" s="6" t="s">
        <v>288</v>
      </c>
      <c r="F38" s="4" t="s">
        <v>289</v>
      </c>
      <c r="G38" s="6" t="s">
        <v>290</v>
      </c>
      <c r="H38" s="4" t="str">
        <f t="shared" si="0"/>
        <v>76.50</v>
      </c>
      <c r="I38" s="3">
        <v>46296</v>
      </c>
      <c r="J38" s="6">
        <v>388</v>
      </c>
      <c r="K38" s="4">
        <v>540.8</v>
      </c>
      <c r="L38" s="4" t="s">
        <v>291</v>
      </c>
      <c r="M38" s="4" t="s">
        <v>292</v>
      </c>
      <c r="N38" s="4" t="s">
        <v>293</v>
      </c>
      <c r="O38" s="4">
        <v>371.79</v>
      </c>
      <c r="P38" s="4">
        <v>10.21</v>
      </c>
      <c r="Q38" s="4">
        <v>58.4</v>
      </c>
      <c r="R38" s="4">
        <v>4.52</v>
      </c>
      <c r="S38" s="4">
        <v>4.15</v>
      </c>
      <c r="T38">
        <f t="shared" si="1"/>
        <v>4.83</v>
      </c>
      <c r="U38" s="18">
        <v>78</v>
      </c>
      <c r="V38" s="18">
        <f t="shared" si="2"/>
        <v>154.5</v>
      </c>
      <c r="W38" s="18">
        <f t="shared" si="3"/>
        <v>11.43</v>
      </c>
      <c r="X38" s="18">
        <f t="shared" si="4"/>
        <v>928.8</v>
      </c>
      <c r="Y38" s="18"/>
      <c r="Z38" s="18"/>
    </row>
    <row r="39" ht="30" spans="1:31">
      <c r="A39">
        <v>2003</v>
      </c>
      <c r="B39" s="3">
        <v>46327</v>
      </c>
      <c r="C39" s="4" t="s">
        <v>294</v>
      </c>
      <c r="D39" s="6" t="s">
        <v>295</v>
      </c>
      <c r="E39" s="6" t="s">
        <v>296</v>
      </c>
      <c r="F39" s="4" t="s">
        <v>297</v>
      </c>
      <c r="G39" s="6" t="s">
        <v>298</v>
      </c>
      <c r="H39" s="4" t="str">
        <f t="shared" si="0"/>
        <v>79.92</v>
      </c>
      <c r="I39" s="3">
        <v>46327</v>
      </c>
      <c r="J39" s="6">
        <v>455</v>
      </c>
      <c r="K39" s="6">
        <v>618.5</v>
      </c>
      <c r="L39" s="6" t="s">
        <v>299</v>
      </c>
      <c r="M39" s="6" t="s">
        <v>300</v>
      </c>
      <c r="N39" s="6" t="s">
        <v>301</v>
      </c>
      <c r="O39" s="4">
        <v>373.11</v>
      </c>
      <c r="P39" s="4">
        <v>10.05</v>
      </c>
      <c r="Q39" s="6">
        <v>95.8</v>
      </c>
      <c r="R39" s="6">
        <v>2.85</v>
      </c>
      <c r="S39" s="6">
        <v>6.15</v>
      </c>
      <c r="T39">
        <f t="shared" si="1"/>
        <v>-2.62</v>
      </c>
      <c r="U39" s="18">
        <v>85.5</v>
      </c>
      <c r="V39" s="18">
        <f t="shared" si="2"/>
        <v>165.42</v>
      </c>
      <c r="W39" s="18">
        <f t="shared" si="3"/>
        <v>14.84</v>
      </c>
      <c r="X39" s="18">
        <f t="shared" si="4"/>
        <v>1073.5</v>
      </c>
      <c r="Y39" s="18"/>
      <c r="Z39" s="18"/>
    </row>
    <row r="40" ht="30" spans="1:31">
      <c r="A40">
        <v>2003</v>
      </c>
      <c r="B40" s="3">
        <v>46357</v>
      </c>
      <c r="C40" s="4" t="s">
        <v>302</v>
      </c>
      <c r="D40" s="4" t="s">
        <v>303</v>
      </c>
      <c r="E40" s="4" t="s">
        <v>304</v>
      </c>
      <c r="F40" s="4" t="s">
        <v>305</v>
      </c>
      <c r="G40" s="6" t="s">
        <v>306</v>
      </c>
      <c r="H40" s="4" t="str">
        <f t="shared" si="0"/>
        <v>81.45</v>
      </c>
      <c r="I40" s="3">
        <v>46357</v>
      </c>
      <c r="J40" s="6">
        <v>408</v>
      </c>
      <c r="K40" s="6">
        <v>605.2</v>
      </c>
      <c r="L40" s="4" t="s">
        <v>307</v>
      </c>
      <c r="M40" s="6" t="s">
        <v>271</v>
      </c>
      <c r="N40" s="6" t="s">
        <v>308</v>
      </c>
      <c r="O40" s="4">
        <v>374.72</v>
      </c>
      <c r="P40" s="4">
        <v>9.94</v>
      </c>
      <c r="Q40" s="4">
        <v>56.5</v>
      </c>
      <c r="R40" s="4">
        <v>3.32</v>
      </c>
      <c r="S40" s="4">
        <v>5.42</v>
      </c>
      <c r="T40">
        <f t="shared" si="1"/>
        <v>8.73</v>
      </c>
      <c r="U40" s="18">
        <v>74.2</v>
      </c>
      <c r="V40" s="18">
        <f t="shared" si="2"/>
        <v>155.65</v>
      </c>
      <c r="W40" s="18">
        <f t="shared" si="3"/>
        <v>16.35</v>
      </c>
      <c r="X40" s="18">
        <f t="shared" si="4"/>
        <v>1013.2</v>
      </c>
      <c r="Y40" s="18">
        <f>AVERAGE(X29:X40)</f>
        <v>942.225</v>
      </c>
      <c r="Z40" s="18">
        <f>AVERAGE(W29:W31)</f>
        <v>10.15</v>
      </c>
      <c r="AA40">
        <f>(SUM(U29:U40)-SUM(U35:U37))/9</f>
        <v>77.8777777777778</v>
      </c>
      <c r="AB40">
        <f>AVERAGE(T29:T40)</f>
        <v>3.83416666666667</v>
      </c>
      <c r="AC40">
        <f>(SUM(T29:T40)-T39-T38)/10</f>
        <v>4.38</v>
      </c>
      <c r="AD40">
        <f>AVERAGE(T29:T31)</f>
        <v>7.52333333333333</v>
      </c>
      <c r="AE40">
        <f>AVERAGE(V29:V40)</f>
        <v>153.1075</v>
      </c>
    </row>
    <row r="41" ht="60.75" spans="1:31">
      <c r="B41" s="6" t="s">
        <v>309</v>
      </c>
      <c r="C41" s="6" t="s">
        <v>7</v>
      </c>
      <c r="D41" s="6" t="s">
        <v>8</v>
      </c>
      <c r="E41" s="6" t="s">
        <v>124</v>
      </c>
      <c r="F41" s="6" t="s">
        <v>10</v>
      </c>
      <c r="G41" s="6" t="s">
        <v>125</v>
      </c>
      <c r="H41" s="4" t="str">
        <f t="shared" si="0"/>
        <v>650 氢</v>
      </c>
      <c r="I41" s="6" t="s">
        <v>309</v>
      </c>
      <c r="J41" s="6" t="s">
        <v>126</v>
      </c>
      <c r="K41" s="6" t="s">
        <v>126</v>
      </c>
      <c r="L41" s="6" t="s">
        <v>127</v>
      </c>
      <c r="M41" s="6" t="s">
        <v>15</v>
      </c>
      <c r="N41" s="6" t="s">
        <v>16</v>
      </c>
      <c r="O41" s="6" t="s">
        <v>17</v>
      </c>
      <c r="P41" s="6" t="s">
        <v>18</v>
      </c>
      <c r="Q41" s="6" t="s">
        <v>19</v>
      </c>
      <c r="R41" s="6" t="s">
        <v>128</v>
      </c>
      <c r="S41" s="6" t="s">
        <v>21</v>
      </c>
      <c r="T41" t="e">
        <f t="shared" si="1"/>
        <v>#VALUE!</v>
      </c>
      <c r="U41" s="19" t="s">
        <v>129</v>
      </c>
      <c r="V41" s="18" t="e">
        <f t="shared" si="2"/>
        <v>#VALUE!</v>
      </c>
      <c r="W41" s="18" t="e">
        <f t="shared" si="3"/>
        <v>#VALUE!</v>
      </c>
      <c r="X41" s="18">
        <f t="shared" si="4"/>
        <v>0</v>
      </c>
      <c r="Y41" s="18"/>
      <c r="Z41" s="18"/>
    </row>
    <row r="42" ht="30.75" spans="1:31">
      <c r="A42">
        <v>2004</v>
      </c>
      <c r="B42" s="3">
        <v>46023</v>
      </c>
      <c r="C42" s="4" t="s">
        <v>310</v>
      </c>
      <c r="D42" s="4" t="s">
        <v>311</v>
      </c>
      <c r="E42" s="4" t="s">
        <v>312</v>
      </c>
      <c r="F42" s="4" t="s">
        <v>313</v>
      </c>
      <c r="G42" s="6" t="s">
        <v>314</v>
      </c>
      <c r="H42" s="4" t="str">
        <f t="shared" si="0"/>
        <v>80.50</v>
      </c>
      <c r="I42" s="3">
        <v>46023</v>
      </c>
      <c r="J42" s="6">
        <v>392</v>
      </c>
      <c r="K42" s="6">
        <v>592.4</v>
      </c>
      <c r="L42" s="6" t="s">
        <v>315</v>
      </c>
      <c r="M42" s="6" t="s">
        <v>316</v>
      </c>
      <c r="N42" s="6" t="s">
        <v>66</v>
      </c>
      <c r="O42" s="4">
        <v>376.54</v>
      </c>
      <c r="P42" s="4">
        <v>9.92</v>
      </c>
      <c r="Q42" s="4">
        <v>35.8</v>
      </c>
      <c r="R42" s="4">
        <v>3.65</v>
      </c>
      <c r="S42" s="4">
        <v>4.85</v>
      </c>
      <c r="T42">
        <f t="shared" si="1"/>
        <v>9.17</v>
      </c>
      <c r="U42" s="18">
        <v>73.8</v>
      </c>
      <c r="V42" s="18">
        <f t="shared" si="2"/>
        <v>154.3</v>
      </c>
      <c r="W42" s="18">
        <f t="shared" si="3"/>
        <v>15.39</v>
      </c>
      <c r="X42" s="18">
        <f t="shared" si="4"/>
        <v>984.4</v>
      </c>
      <c r="Y42" s="18"/>
      <c r="Z42" s="18"/>
    </row>
    <row r="43" ht="29.25" spans="1:31">
      <c r="A43">
        <v>2004</v>
      </c>
      <c r="B43" s="3">
        <v>46054</v>
      </c>
      <c r="C43" s="4" t="s">
        <v>317</v>
      </c>
      <c r="D43" s="4" t="s">
        <v>318</v>
      </c>
      <c r="E43" s="4" t="s">
        <v>319</v>
      </c>
      <c r="F43" s="4" t="s">
        <v>320</v>
      </c>
      <c r="G43" s="4" t="s">
        <v>321</v>
      </c>
      <c r="H43" s="4" t="str">
        <f t="shared" si="0"/>
        <v>79.80</v>
      </c>
      <c r="I43" s="3">
        <v>46054</v>
      </c>
      <c r="J43" s="6">
        <v>394</v>
      </c>
      <c r="K43" s="4">
        <v>585.1</v>
      </c>
      <c r="L43" s="4" t="s">
        <v>322</v>
      </c>
      <c r="M43" s="4" t="s">
        <v>323</v>
      </c>
      <c r="N43" s="4" t="s">
        <v>176</v>
      </c>
      <c r="O43" s="4">
        <v>377.3</v>
      </c>
      <c r="P43" s="4">
        <v>9.98</v>
      </c>
      <c r="Q43" s="4">
        <v>36.5</v>
      </c>
      <c r="R43" s="4">
        <v>3.84</v>
      </c>
      <c r="S43" s="4">
        <v>4.62</v>
      </c>
      <c r="T43">
        <f t="shared" si="1"/>
        <v>8.52</v>
      </c>
      <c r="U43" s="18">
        <v>74.5</v>
      </c>
      <c r="V43" s="18">
        <f t="shared" si="2"/>
        <v>154.3</v>
      </c>
      <c r="W43" s="18">
        <f t="shared" si="3"/>
        <v>14.68</v>
      </c>
      <c r="X43" s="18">
        <f t="shared" si="4"/>
        <v>979.1</v>
      </c>
      <c r="Y43" s="18"/>
      <c r="Z43" s="18"/>
    </row>
    <row r="44" ht="29.25" spans="1:31">
      <c r="A44">
        <v>2004</v>
      </c>
      <c r="B44" s="3">
        <v>46082</v>
      </c>
      <c r="C44" s="4" t="s">
        <v>324</v>
      </c>
      <c r="D44" s="4" t="s">
        <v>325</v>
      </c>
      <c r="E44" s="4" t="s">
        <v>326</v>
      </c>
      <c r="F44" s="4" t="s">
        <v>327</v>
      </c>
      <c r="G44" s="4" t="s">
        <v>328</v>
      </c>
      <c r="H44" s="4" t="str">
        <f t="shared" si="0"/>
        <v>78.12</v>
      </c>
      <c r="I44" s="3">
        <v>46082</v>
      </c>
      <c r="J44" s="6">
        <v>388</v>
      </c>
      <c r="K44" s="4">
        <v>562.8</v>
      </c>
      <c r="L44" s="4" t="s">
        <v>329</v>
      </c>
      <c r="M44" s="4" t="s">
        <v>330</v>
      </c>
      <c r="N44" s="4" t="s">
        <v>331</v>
      </c>
      <c r="O44" s="4">
        <v>378.37</v>
      </c>
      <c r="P44" s="4">
        <v>10.09</v>
      </c>
      <c r="Q44" s="4">
        <v>41.2</v>
      </c>
      <c r="R44" s="4">
        <v>4.42</v>
      </c>
      <c r="S44" s="4">
        <v>4.25</v>
      </c>
      <c r="T44">
        <f t="shared" si="1"/>
        <v>7.06999999999999</v>
      </c>
      <c r="U44" s="18">
        <v>76</v>
      </c>
      <c r="V44" s="18">
        <f t="shared" si="2"/>
        <v>154.12</v>
      </c>
      <c r="W44" s="18">
        <f t="shared" si="3"/>
        <v>12.98</v>
      </c>
      <c r="X44" s="18">
        <f t="shared" si="4"/>
        <v>950.8</v>
      </c>
      <c r="Y44" s="18"/>
      <c r="Z44" s="18"/>
    </row>
    <row r="45" ht="29.25" spans="1:31">
      <c r="A45">
        <v>2004</v>
      </c>
      <c r="B45" s="3">
        <v>46113</v>
      </c>
      <c r="C45" s="4" t="s">
        <v>332</v>
      </c>
      <c r="D45" s="4" t="s">
        <v>333</v>
      </c>
      <c r="E45" s="4" t="s">
        <v>334</v>
      </c>
      <c r="F45" s="4" t="s">
        <v>335</v>
      </c>
      <c r="G45" s="4" t="s">
        <v>336</v>
      </c>
      <c r="H45" s="4" t="str">
        <f t="shared" si="0"/>
        <v>76.45</v>
      </c>
      <c r="I45" s="3">
        <v>46113</v>
      </c>
      <c r="J45" s="6">
        <v>382</v>
      </c>
      <c r="K45" s="4">
        <v>535.6</v>
      </c>
      <c r="L45" s="4" t="s">
        <v>337</v>
      </c>
      <c r="M45" s="4" t="s">
        <v>338</v>
      </c>
      <c r="N45" s="4" t="s">
        <v>168</v>
      </c>
      <c r="O45" s="4">
        <v>379.8</v>
      </c>
      <c r="P45" s="4">
        <v>10.24</v>
      </c>
      <c r="Q45" s="4">
        <v>43.8</v>
      </c>
      <c r="R45" s="4">
        <v>4.98</v>
      </c>
      <c r="S45" s="4">
        <v>3.54</v>
      </c>
      <c r="T45">
        <f t="shared" si="1"/>
        <v>5.61</v>
      </c>
      <c r="U45" s="18">
        <v>77.5</v>
      </c>
      <c r="V45" s="18">
        <f t="shared" si="2"/>
        <v>153.95</v>
      </c>
      <c r="W45" s="18">
        <f t="shared" si="3"/>
        <v>11.3</v>
      </c>
      <c r="X45" s="18">
        <f t="shared" si="4"/>
        <v>917.6</v>
      </c>
      <c r="Y45" s="18"/>
      <c r="Z45" s="18"/>
    </row>
    <row r="46" ht="29.25" spans="1:31">
      <c r="A46">
        <v>2004</v>
      </c>
      <c r="B46" s="3">
        <v>46143</v>
      </c>
      <c r="C46" s="4" t="s">
        <v>339</v>
      </c>
      <c r="D46" s="4" t="s">
        <v>340</v>
      </c>
      <c r="E46" s="4" t="s">
        <v>341</v>
      </c>
      <c r="F46" s="4" t="s">
        <v>342</v>
      </c>
      <c r="G46" s="4" t="s">
        <v>343</v>
      </c>
      <c r="H46" s="4" t="str">
        <f t="shared" si="0"/>
        <v>74.30</v>
      </c>
      <c r="I46" s="3">
        <v>46143</v>
      </c>
      <c r="J46" s="6">
        <v>370</v>
      </c>
      <c r="K46" s="4">
        <v>508.2</v>
      </c>
      <c r="L46" s="4" t="s">
        <v>344</v>
      </c>
      <c r="M46" s="4" t="s">
        <v>345</v>
      </c>
      <c r="N46" s="4" t="s">
        <v>58</v>
      </c>
      <c r="O46" s="6">
        <v>380.45</v>
      </c>
      <c r="P46" s="4">
        <v>10.42</v>
      </c>
      <c r="Q46" s="4">
        <v>46.5</v>
      </c>
      <c r="R46" s="4">
        <v>5.62</v>
      </c>
      <c r="S46" s="4">
        <v>2.88</v>
      </c>
      <c r="T46">
        <f t="shared" si="1"/>
        <v>4.16</v>
      </c>
      <c r="U46" s="18">
        <v>79</v>
      </c>
      <c r="V46" s="18">
        <f t="shared" si="2"/>
        <v>153.3</v>
      </c>
      <c r="W46" s="18">
        <f t="shared" si="3"/>
        <v>9.14</v>
      </c>
      <c r="X46" s="18">
        <f t="shared" si="4"/>
        <v>878.2</v>
      </c>
      <c r="Y46" s="18"/>
      <c r="Z46" s="18"/>
    </row>
    <row r="47" ht="30.75" spans="1:31">
      <c r="A47">
        <v>2004</v>
      </c>
      <c r="B47" s="3">
        <v>46174</v>
      </c>
      <c r="C47" s="4" t="s">
        <v>346</v>
      </c>
      <c r="D47" s="4" t="s">
        <v>347</v>
      </c>
      <c r="E47" s="4" t="s">
        <v>348</v>
      </c>
      <c r="F47" s="4" t="s">
        <v>349</v>
      </c>
      <c r="G47" s="4" t="s">
        <v>350</v>
      </c>
      <c r="H47" s="4" t="str">
        <f t="shared" si="0"/>
        <v>72.10</v>
      </c>
      <c r="I47" s="3">
        <v>46174</v>
      </c>
      <c r="J47" s="6">
        <v>362</v>
      </c>
      <c r="K47" s="4">
        <v>482.5</v>
      </c>
      <c r="L47" s="6" t="s">
        <v>351</v>
      </c>
      <c r="M47" s="4" t="s">
        <v>352</v>
      </c>
      <c r="N47" s="4" t="s">
        <v>50</v>
      </c>
      <c r="O47" s="4">
        <v>379.91</v>
      </c>
      <c r="P47" s="4">
        <v>10.58</v>
      </c>
      <c r="Q47" s="4">
        <v>42.1</v>
      </c>
      <c r="R47" s="4">
        <v>6.35</v>
      </c>
      <c r="S47" s="4">
        <v>2.12</v>
      </c>
      <c r="T47">
        <f t="shared" si="1"/>
        <v>2.00999999999999</v>
      </c>
      <c r="U47" s="18">
        <v>81.2</v>
      </c>
      <c r="V47" s="18">
        <f t="shared" si="2"/>
        <v>153.3</v>
      </c>
      <c r="W47" s="18">
        <f t="shared" si="3"/>
        <v>6.92999999999999</v>
      </c>
      <c r="X47" s="18">
        <f t="shared" si="4"/>
        <v>844.5</v>
      </c>
      <c r="Y47" s="18"/>
      <c r="Z47" s="18"/>
    </row>
    <row r="48" ht="42" spans="1:31">
      <c r="A48">
        <v>2004</v>
      </c>
      <c r="B48" s="3">
        <v>46204</v>
      </c>
      <c r="C48" s="4" t="s">
        <v>353</v>
      </c>
      <c r="D48" s="6" t="s">
        <v>354</v>
      </c>
      <c r="E48" s="6" t="s">
        <v>355</v>
      </c>
      <c r="F48" s="4" t="s">
        <v>356</v>
      </c>
      <c r="G48" s="4" t="s">
        <v>357</v>
      </c>
      <c r="H48" s="4" t="str">
        <f t="shared" si="0"/>
        <v>71.25</v>
      </c>
      <c r="I48" s="3">
        <v>46204</v>
      </c>
      <c r="J48" s="6">
        <v>355</v>
      </c>
      <c r="K48" s="6">
        <v>475.2</v>
      </c>
      <c r="L48" s="6" t="s">
        <v>358</v>
      </c>
      <c r="M48" s="4" t="s">
        <v>359</v>
      </c>
      <c r="N48" s="4" t="s">
        <v>98</v>
      </c>
      <c r="O48" s="4">
        <v>377.44</v>
      </c>
      <c r="P48" s="6">
        <v>10.74</v>
      </c>
      <c r="Q48" s="4">
        <v>40.8</v>
      </c>
      <c r="R48" s="6">
        <v>6.92</v>
      </c>
      <c r="S48" s="6">
        <v>1.78</v>
      </c>
      <c r="T48">
        <f t="shared" si="1"/>
        <v>-1.55</v>
      </c>
      <c r="U48" s="18">
        <v>84.8</v>
      </c>
      <c r="V48" s="18">
        <f t="shared" si="2"/>
        <v>156.05</v>
      </c>
      <c r="W48" s="18">
        <f t="shared" si="3"/>
        <v>6.06999999999999</v>
      </c>
      <c r="X48" s="18">
        <f t="shared" si="4"/>
        <v>830.2</v>
      </c>
      <c r="Y48" s="18"/>
      <c r="Z48" s="18"/>
    </row>
    <row r="49" ht="29.25" spans="1:31">
      <c r="A49">
        <v>2004</v>
      </c>
      <c r="B49" s="3">
        <v>46235</v>
      </c>
      <c r="C49" s="4" t="s">
        <v>360</v>
      </c>
      <c r="D49" s="4" t="s">
        <v>361</v>
      </c>
      <c r="E49" s="4" t="s">
        <v>362</v>
      </c>
      <c r="F49" s="4" t="s">
        <v>363</v>
      </c>
      <c r="G49" s="4" t="s">
        <v>364</v>
      </c>
      <c r="H49" s="4" t="str">
        <f t="shared" si="0"/>
        <v>72.40</v>
      </c>
      <c r="I49" s="3">
        <v>46235</v>
      </c>
      <c r="J49" s="6">
        <v>358</v>
      </c>
      <c r="K49" s="4">
        <v>481.4</v>
      </c>
      <c r="L49" s="4" t="s">
        <v>365</v>
      </c>
      <c r="M49" s="4" t="s">
        <v>366</v>
      </c>
      <c r="N49" s="4" t="s">
        <v>90</v>
      </c>
      <c r="O49" s="4">
        <v>375.47</v>
      </c>
      <c r="P49" s="6">
        <v>10.78</v>
      </c>
      <c r="Q49" s="4">
        <v>44.5</v>
      </c>
      <c r="R49" s="4">
        <v>6.24</v>
      </c>
      <c r="S49" s="4">
        <v>1.95</v>
      </c>
      <c r="T49">
        <f t="shared" si="1"/>
        <v>1.3</v>
      </c>
      <c r="U49" s="18">
        <v>82</v>
      </c>
      <c r="V49" s="18">
        <f t="shared" si="2"/>
        <v>154.4</v>
      </c>
      <c r="W49" s="18">
        <f t="shared" si="3"/>
        <v>7.2</v>
      </c>
      <c r="X49" s="18">
        <f t="shared" si="4"/>
        <v>839.4</v>
      </c>
      <c r="Y49" s="18"/>
      <c r="Z49" s="18"/>
    </row>
    <row r="50" ht="29.25" spans="1:31">
      <c r="A50">
        <v>2004</v>
      </c>
      <c r="B50" s="3">
        <v>46266</v>
      </c>
      <c r="C50" s="4" t="s">
        <v>367</v>
      </c>
      <c r="D50" s="4" t="s">
        <v>368</v>
      </c>
      <c r="E50" s="4" t="s">
        <v>369</v>
      </c>
      <c r="F50" s="4" t="s">
        <v>370</v>
      </c>
      <c r="G50" s="4" t="s">
        <v>371</v>
      </c>
      <c r="H50" s="4" t="str">
        <f t="shared" si="0"/>
        <v>73.85</v>
      </c>
      <c r="I50" s="3">
        <v>46266</v>
      </c>
      <c r="J50" s="6">
        <v>365</v>
      </c>
      <c r="K50" s="4">
        <v>498.6</v>
      </c>
      <c r="L50" s="4" t="s">
        <v>372</v>
      </c>
      <c r="M50" s="4" t="s">
        <v>373</v>
      </c>
      <c r="N50" s="4" t="s">
        <v>74</v>
      </c>
      <c r="O50" s="4">
        <v>373.91</v>
      </c>
      <c r="P50" s="4">
        <v>10.51</v>
      </c>
      <c r="Q50" s="4">
        <v>48.2</v>
      </c>
      <c r="R50" s="4">
        <v>5.15</v>
      </c>
      <c r="S50" s="4">
        <v>2.92</v>
      </c>
      <c r="T50">
        <f t="shared" si="1"/>
        <v>3.84999999999999</v>
      </c>
      <c r="U50" s="18">
        <v>79.5</v>
      </c>
      <c r="V50" s="18">
        <f t="shared" si="2"/>
        <v>153.35</v>
      </c>
      <c r="W50" s="18">
        <f t="shared" si="3"/>
        <v>8.64</v>
      </c>
      <c r="X50" s="18">
        <f t="shared" si="4"/>
        <v>863.6</v>
      </c>
      <c r="Y50" s="18"/>
      <c r="Z50" s="18"/>
    </row>
    <row r="51" ht="29.25" spans="1:31">
      <c r="A51">
        <v>2004</v>
      </c>
      <c r="B51" s="3">
        <v>46296</v>
      </c>
      <c r="C51" s="4" t="s">
        <v>374</v>
      </c>
      <c r="D51" s="4" t="s">
        <v>375</v>
      </c>
      <c r="E51" s="4" t="s">
        <v>376</v>
      </c>
      <c r="F51" s="4" t="s">
        <v>377</v>
      </c>
      <c r="G51" s="4" t="s">
        <v>378</v>
      </c>
      <c r="H51" s="4" t="str">
        <f t="shared" si="0"/>
        <v>75.12</v>
      </c>
      <c r="I51" s="3">
        <v>46296</v>
      </c>
      <c r="J51" s="6">
        <v>375</v>
      </c>
      <c r="K51" s="4">
        <v>515.2</v>
      </c>
      <c r="L51" s="4" t="s">
        <v>379</v>
      </c>
      <c r="M51" s="4" t="s">
        <v>380</v>
      </c>
      <c r="N51" s="4" t="s">
        <v>212</v>
      </c>
      <c r="O51" s="4">
        <v>374.07</v>
      </c>
      <c r="P51" s="4">
        <v>10.18</v>
      </c>
      <c r="Q51" s="6">
        <v>55.6</v>
      </c>
      <c r="R51" s="4">
        <v>4.58</v>
      </c>
      <c r="S51" s="4">
        <v>3.98</v>
      </c>
      <c r="T51">
        <f t="shared" si="1"/>
        <v>5.59</v>
      </c>
      <c r="U51" s="18">
        <v>77.8</v>
      </c>
      <c r="V51" s="18">
        <f t="shared" si="2"/>
        <v>152.92</v>
      </c>
      <c r="W51" s="18">
        <f t="shared" si="3"/>
        <v>9.90000000000001</v>
      </c>
      <c r="X51" s="18">
        <f t="shared" si="4"/>
        <v>890.2</v>
      </c>
      <c r="Y51" s="18"/>
      <c r="Z51" s="18"/>
    </row>
    <row r="52" ht="29.25" spans="1:31">
      <c r="A52">
        <v>2004</v>
      </c>
      <c r="B52" s="3">
        <v>46327</v>
      </c>
      <c r="C52" s="4" t="s">
        <v>381</v>
      </c>
      <c r="D52" s="6" t="s">
        <v>382</v>
      </c>
      <c r="E52" s="6" t="s">
        <v>383</v>
      </c>
      <c r="F52" s="4" t="s">
        <v>384</v>
      </c>
      <c r="G52" s="4" t="s">
        <v>385</v>
      </c>
      <c r="H52" s="4" t="str">
        <f t="shared" si="0"/>
        <v>77.95</v>
      </c>
      <c r="I52" s="3">
        <v>46327</v>
      </c>
      <c r="J52" s="6">
        <v>382</v>
      </c>
      <c r="K52" s="4">
        <v>538.7</v>
      </c>
      <c r="L52" s="4" t="s">
        <v>386</v>
      </c>
      <c r="M52" s="6" t="s">
        <v>387</v>
      </c>
      <c r="N52" s="4" t="s">
        <v>388</v>
      </c>
      <c r="O52" s="4">
        <v>375.46</v>
      </c>
      <c r="P52" s="4">
        <v>10.03</v>
      </c>
      <c r="Q52" s="6">
        <v>59.8</v>
      </c>
      <c r="R52" s="4">
        <v>3.95</v>
      </c>
      <c r="S52" s="4">
        <v>4.82</v>
      </c>
      <c r="T52">
        <f t="shared" si="1"/>
        <v>-1.76000000000001</v>
      </c>
      <c r="U52" s="18">
        <v>85.2</v>
      </c>
      <c r="V52" s="18">
        <f t="shared" si="2"/>
        <v>163.15</v>
      </c>
      <c r="W52" s="18">
        <f t="shared" si="3"/>
        <v>12.72</v>
      </c>
      <c r="X52" s="18">
        <f t="shared" si="4"/>
        <v>920.7</v>
      </c>
      <c r="Y52" s="18"/>
      <c r="Z52" s="18"/>
    </row>
    <row r="53" ht="30" spans="1:31">
      <c r="A53">
        <v>2004</v>
      </c>
      <c r="B53" s="3">
        <v>46357</v>
      </c>
      <c r="C53" s="4" t="s">
        <v>389</v>
      </c>
      <c r="D53" s="4" t="s">
        <v>390</v>
      </c>
      <c r="E53" s="4" t="s">
        <v>391</v>
      </c>
      <c r="F53" s="4" t="s">
        <v>392</v>
      </c>
      <c r="G53" s="6" t="s">
        <v>393</v>
      </c>
      <c r="H53" s="4" t="str">
        <f t="shared" si="0"/>
        <v>79.40</v>
      </c>
      <c r="I53" s="3">
        <v>46357</v>
      </c>
      <c r="J53" s="6">
        <v>390</v>
      </c>
      <c r="K53" s="6">
        <v>565.4</v>
      </c>
      <c r="L53" s="4" t="s">
        <v>394</v>
      </c>
      <c r="M53" s="6" t="s">
        <v>366</v>
      </c>
      <c r="N53" s="6" t="s">
        <v>137</v>
      </c>
      <c r="O53" s="4">
        <v>377.17</v>
      </c>
      <c r="P53" s="4">
        <v>9.93</v>
      </c>
      <c r="Q53" s="4">
        <v>42.4</v>
      </c>
      <c r="R53" s="4">
        <v>3.62</v>
      </c>
      <c r="S53" s="4">
        <v>5.15</v>
      </c>
      <c r="T53">
        <f t="shared" si="1"/>
        <v>9.48999999999999</v>
      </c>
      <c r="U53" s="18">
        <v>74</v>
      </c>
      <c r="V53" s="18">
        <f t="shared" si="2"/>
        <v>153.4</v>
      </c>
      <c r="W53" s="18">
        <f t="shared" si="3"/>
        <v>14.15</v>
      </c>
      <c r="X53" s="18">
        <f t="shared" si="4"/>
        <v>955.4</v>
      </c>
      <c r="Y53" s="18">
        <f>AVERAGE(X42:X53)</f>
        <v>904.508333333333</v>
      </c>
      <c r="Z53" s="18">
        <f>AVERAGE(W42:W44)</f>
        <v>14.35</v>
      </c>
      <c r="AA53">
        <f>(SUM(U42:U53)-SUM(U48:U50))/9</f>
        <v>77.6666666666667</v>
      </c>
      <c r="AB53">
        <f>AVERAGE(T42:T53)</f>
        <v>4.455</v>
      </c>
      <c r="AC53">
        <f>(SUM(T42:T53)-T48-T52)/10</f>
        <v>5.677</v>
      </c>
      <c r="AD53">
        <f>AVERAGE(T42:T44)</f>
        <v>8.25333333333333</v>
      </c>
      <c r="AE53">
        <f>AVERAGE(V42:V53)</f>
        <v>154.711666666667</v>
      </c>
    </row>
    <row r="54" ht="60.75" spans="1:31">
      <c r="B54" s="6" t="s">
        <v>395</v>
      </c>
      <c r="C54" s="6" t="s">
        <v>396</v>
      </c>
      <c r="D54" s="6" t="s">
        <v>8</v>
      </c>
      <c r="E54" s="6" t="s">
        <v>124</v>
      </c>
      <c r="F54" s="6" t="s">
        <v>10</v>
      </c>
      <c r="G54" s="6" t="s">
        <v>125</v>
      </c>
      <c r="H54" s="4" t="str">
        <f t="shared" si="0"/>
        <v>650 氢</v>
      </c>
      <c r="I54" s="6" t="s">
        <v>395</v>
      </c>
      <c r="J54" s="6" t="s">
        <v>126</v>
      </c>
      <c r="K54" s="6" t="s">
        <v>126</v>
      </c>
      <c r="L54" s="6" t="s">
        <v>127</v>
      </c>
      <c r="M54" s="6" t="s">
        <v>15</v>
      </c>
      <c r="N54" s="6" t="s">
        <v>16</v>
      </c>
      <c r="O54" s="6" t="s">
        <v>17</v>
      </c>
      <c r="P54" s="6" t="s">
        <v>18</v>
      </c>
      <c r="Q54" s="6" t="s">
        <v>19</v>
      </c>
      <c r="R54" s="6" t="s">
        <v>128</v>
      </c>
      <c r="S54" s="6" t="s">
        <v>21</v>
      </c>
      <c r="T54" t="e">
        <f t="shared" si="1"/>
        <v>#VALUE!</v>
      </c>
      <c r="U54" s="19" t="s">
        <v>129</v>
      </c>
      <c r="V54" s="18" t="e">
        <f t="shared" si="2"/>
        <v>#VALUE!</v>
      </c>
      <c r="W54" s="18" t="e">
        <f t="shared" si="3"/>
        <v>#VALUE!</v>
      </c>
      <c r="X54" s="18">
        <f t="shared" si="4"/>
        <v>0</v>
      </c>
      <c r="Y54" s="18"/>
      <c r="Z54" s="18"/>
    </row>
    <row r="55" ht="44.25" spans="1:31">
      <c r="A55">
        <v>2005</v>
      </c>
      <c r="B55" s="3">
        <v>46023</v>
      </c>
      <c r="C55" s="4" t="s">
        <v>397</v>
      </c>
      <c r="D55" s="4" t="s">
        <v>398</v>
      </c>
      <c r="E55" s="4" t="s">
        <v>399</v>
      </c>
      <c r="F55" s="4" t="s">
        <v>400</v>
      </c>
      <c r="G55" s="6" t="s">
        <v>401</v>
      </c>
      <c r="H55" s="4" t="str">
        <f t="shared" si="0"/>
        <v>78.90</v>
      </c>
      <c r="I55" s="3">
        <v>46023</v>
      </c>
      <c r="J55" s="6">
        <v>375</v>
      </c>
      <c r="K55" s="6">
        <v>558.4</v>
      </c>
      <c r="L55" s="6" t="s">
        <v>402</v>
      </c>
      <c r="M55" s="6" t="s">
        <v>403</v>
      </c>
      <c r="N55" s="6" t="s">
        <v>168</v>
      </c>
      <c r="O55" s="4">
        <v>378.47</v>
      </c>
      <c r="P55" s="4">
        <v>9.95</v>
      </c>
      <c r="Q55" s="4">
        <v>32.5</v>
      </c>
      <c r="R55" s="4">
        <v>3.52</v>
      </c>
      <c r="S55" s="4">
        <v>5.24</v>
      </c>
      <c r="T55">
        <f t="shared" si="1"/>
        <v>10.03</v>
      </c>
      <c r="U55" s="18">
        <v>73.5</v>
      </c>
      <c r="V55" s="18">
        <f t="shared" si="2"/>
        <v>152.4</v>
      </c>
      <c r="W55" s="18">
        <f t="shared" si="3"/>
        <v>13.64</v>
      </c>
      <c r="X55" s="18">
        <f t="shared" si="4"/>
        <v>933.4</v>
      </c>
      <c r="Y55" s="18"/>
      <c r="Z55" s="18"/>
    </row>
    <row r="56" ht="29.25" spans="1:31">
      <c r="A56">
        <v>2005</v>
      </c>
      <c r="B56" s="3">
        <v>46054</v>
      </c>
      <c r="C56" s="4" t="s">
        <v>404</v>
      </c>
      <c r="D56" s="6" t="s">
        <v>405</v>
      </c>
      <c r="E56" s="6" t="s">
        <v>406</v>
      </c>
      <c r="F56" s="4" t="s">
        <v>407</v>
      </c>
      <c r="G56" s="4" t="s">
        <v>408</v>
      </c>
      <c r="H56" s="4" t="str">
        <f t="shared" si="0"/>
        <v>78.15</v>
      </c>
      <c r="I56" s="3">
        <v>46054</v>
      </c>
      <c r="J56" s="6">
        <v>378</v>
      </c>
      <c r="K56" s="4">
        <v>542.1</v>
      </c>
      <c r="L56" s="4" t="s">
        <v>409</v>
      </c>
      <c r="M56" s="6" t="s">
        <v>410</v>
      </c>
      <c r="N56" s="4" t="s">
        <v>331</v>
      </c>
      <c r="O56" s="4">
        <v>379.31</v>
      </c>
      <c r="P56" s="4">
        <v>10.04</v>
      </c>
      <c r="Q56" s="4">
        <v>33.8</v>
      </c>
      <c r="R56" s="4">
        <v>3.78</v>
      </c>
      <c r="S56" s="4">
        <v>4.65</v>
      </c>
      <c r="T56">
        <f t="shared" si="1"/>
        <v>-2.22</v>
      </c>
      <c r="U56" s="18">
        <v>85.8</v>
      </c>
      <c r="V56" s="18">
        <f t="shared" si="2"/>
        <v>163.95</v>
      </c>
      <c r="W56" s="18">
        <f t="shared" si="3"/>
        <v>12.88</v>
      </c>
      <c r="X56" s="18">
        <f t="shared" si="4"/>
        <v>920.1</v>
      </c>
      <c r="Y56" s="18"/>
      <c r="Z56" s="18"/>
    </row>
    <row r="57" ht="29.25" spans="1:31">
      <c r="A57">
        <v>2005</v>
      </c>
      <c r="B57" s="3">
        <v>46082</v>
      </c>
      <c r="C57" s="4" t="s">
        <v>411</v>
      </c>
      <c r="D57" s="4" t="s">
        <v>412</v>
      </c>
      <c r="E57" s="4" t="s">
        <v>413</v>
      </c>
      <c r="F57" s="4" t="s">
        <v>414</v>
      </c>
      <c r="G57" s="4" t="s">
        <v>415</v>
      </c>
      <c r="H57" s="4" t="str">
        <f t="shared" si="0"/>
        <v>77.40</v>
      </c>
      <c r="I57" s="3">
        <v>46082</v>
      </c>
      <c r="J57" s="6">
        <v>370</v>
      </c>
      <c r="K57" s="4">
        <v>520.8</v>
      </c>
      <c r="L57" s="4" t="s">
        <v>416</v>
      </c>
      <c r="M57" s="4" t="s">
        <v>271</v>
      </c>
      <c r="N57" s="4" t="s">
        <v>417</v>
      </c>
      <c r="O57" s="4">
        <v>380.39</v>
      </c>
      <c r="P57" s="4">
        <v>10.15</v>
      </c>
      <c r="Q57" s="4">
        <v>38.5</v>
      </c>
      <c r="R57" s="4">
        <v>4.3</v>
      </c>
      <c r="S57" s="4">
        <v>4.28</v>
      </c>
      <c r="T57">
        <f t="shared" si="1"/>
        <v>7.42999999999999</v>
      </c>
      <c r="U57" s="18">
        <v>76.2</v>
      </c>
      <c r="V57" s="18">
        <f t="shared" si="2"/>
        <v>153.6</v>
      </c>
      <c r="W57" s="18">
        <f t="shared" si="3"/>
        <v>12.11</v>
      </c>
      <c r="X57" s="18">
        <f t="shared" si="4"/>
        <v>890.8</v>
      </c>
      <c r="Y57" s="18"/>
      <c r="Z57" s="18"/>
    </row>
    <row r="58" ht="29.25" spans="1:31">
      <c r="A58">
        <v>2005</v>
      </c>
      <c r="B58" s="3">
        <v>46113</v>
      </c>
      <c r="C58" s="4" t="s">
        <v>418</v>
      </c>
      <c r="D58" s="4" t="s">
        <v>419</v>
      </c>
      <c r="E58" s="4" t="s">
        <v>420</v>
      </c>
      <c r="F58" s="4" t="s">
        <v>421</v>
      </c>
      <c r="G58" s="4" t="s">
        <v>422</v>
      </c>
      <c r="H58" s="4" t="str">
        <f t="shared" si="0"/>
        <v>75.80</v>
      </c>
      <c r="I58" s="3">
        <v>46113</v>
      </c>
      <c r="J58" s="6">
        <v>362</v>
      </c>
      <c r="K58" s="4">
        <v>495.6</v>
      </c>
      <c r="L58" s="4" t="s">
        <v>423</v>
      </c>
      <c r="M58" s="4" t="s">
        <v>345</v>
      </c>
      <c r="N58" s="4" t="s">
        <v>424</v>
      </c>
      <c r="O58" s="4">
        <v>381.71</v>
      </c>
      <c r="P58" s="4">
        <v>10.32</v>
      </c>
      <c r="Q58" s="4">
        <v>40.2</v>
      </c>
      <c r="R58" s="4">
        <v>4.82</v>
      </c>
      <c r="S58" s="4">
        <v>3.42</v>
      </c>
      <c r="T58">
        <f t="shared" si="1"/>
        <v>5.88000000000001</v>
      </c>
      <c r="U58" s="18">
        <v>77.8</v>
      </c>
      <c r="V58" s="18">
        <f t="shared" si="2"/>
        <v>153.6</v>
      </c>
      <c r="W58" s="18">
        <f t="shared" si="3"/>
        <v>10.5</v>
      </c>
      <c r="X58" s="18">
        <f t="shared" si="4"/>
        <v>857.6</v>
      </c>
      <c r="Y58" s="18"/>
      <c r="Z58" s="18"/>
    </row>
    <row r="59" ht="29.25" spans="1:31">
      <c r="A59">
        <v>2005</v>
      </c>
      <c r="B59" s="3">
        <v>46143</v>
      </c>
      <c r="C59" s="4" t="s">
        <v>425</v>
      </c>
      <c r="D59" s="4" t="s">
        <v>426</v>
      </c>
      <c r="E59" s="4" t="s">
        <v>427</v>
      </c>
      <c r="F59" s="4" t="s">
        <v>428</v>
      </c>
      <c r="G59" s="4" t="s">
        <v>429</v>
      </c>
      <c r="H59" s="4" t="str">
        <f t="shared" si="0"/>
        <v>73.25</v>
      </c>
      <c r="I59" s="3">
        <v>46143</v>
      </c>
      <c r="J59" s="6">
        <v>350</v>
      </c>
      <c r="K59" s="4">
        <v>472.3</v>
      </c>
      <c r="L59" s="4" t="s">
        <v>430</v>
      </c>
      <c r="M59" s="4" t="s">
        <v>431</v>
      </c>
      <c r="N59" s="4" t="s">
        <v>243</v>
      </c>
      <c r="O59" s="6">
        <v>382.47</v>
      </c>
      <c r="P59" s="4">
        <v>10.51</v>
      </c>
      <c r="Q59" s="4">
        <v>42.8</v>
      </c>
      <c r="R59" s="4">
        <v>5.45</v>
      </c>
      <c r="S59" s="4">
        <v>2.65</v>
      </c>
      <c r="T59">
        <f t="shared" si="1"/>
        <v>4.23</v>
      </c>
      <c r="U59" s="18">
        <v>79.5</v>
      </c>
      <c r="V59" s="18">
        <f t="shared" si="2"/>
        <v>152.75</v>
      </c>
      <c r="W59" s="18">
        <f t="shared" si="3"/>
        <v>7.94</v>
      </c>
      <c r="X59" s="18">
        <f t="shared" si="4"/>
        <v>822.3</v>
      </c>
      <c r="Y59" s="18"/>
      <c r="Z59" s="18"/>
    </row>
    <row r="60" ht="30.75" spans="1:31">
      <c r="A60">
        <v>2005</v>
      </c>
      <c r="B60" s="3">
        <v>46174</v>
      </c>
      <c r="C60" s="4" t="s">
        <v>432</v>
      </c>
      <c r="D60" s="4" t="s">
        <v>433</v>
      </c>
      <c r="E60" s="4" t="s">
        <v>434</v>
      </c>
      <c r="F60" s="4" t="s">
        <v>435</v>
      </c>
      <c r="G60" s="4" t="s">
        <v>436</v>
      </c>
      <c r="H60" s="4" t="str">
        <f t="shared" si="0"/>
        <v>71.40</v>
      </c>
      <c r="I60" s="3">
        <v>46174</v>
      </c>
      <c r="J60" s="6">
        <v>342</v>
      </c>
      <c r="K60" s="4">
        <v>455.7</v>
      </c>
      <c r="L60" s="6" t="s">
        <v>437</v>
      </c>
      <c r="M60" s="4" t="s">
        <v>373</v>
      </c>
      <c r="N60" s="4" t="s">
        <v>145</v>
      </c>
      <c r="O60" s="4">
        <v>382.2</v>
      </c>
      <c r="P60" s="4">
        <v>10.68</v>
      </c>
      <c r="Q60" s="4">
        <v>39.5</v>
      </c>
      <c r="R60" s="4">
        <v>6.15</v>
      </c>
      <c r="S60" s="4">
        <v>2.05</v>
      </c>
      <c r="T60">
        <f t="shared" si="1"/>
        <v>2.28</v>
      </c>
      <c r="U60" s="18">
        <v>81.5</v>
      </c>
      <c r="V60" s="18">
        <f t="shared" si="2"/>
        <v>152.9</v>
      </c>
      <c r="W60" s="18">
        <f t="shared" si="3"/>
        <v>6.08000000000001</v>
      </c>
      <c r="X60" s="18">
        <f t="shared" si="4"/>
        <v>797.7</v>
      </c>
      <c r="Y60" s="18"/>
      <c r="Z60" s="18"/>
    </row>
    <row r="61" ht="30" spans="1:31">
      <c r="A61">
        <v>2005</v>
      </c>
      <c r="B61" s="3">
        <v>46204</v>
      </c>
      <c r="C61" s="4" t="s">
        <v>438</v>
      </c>
      <c r="D61" s="4" t="s">
        <v>439</v>
      </c>
      <c r="E61" s="4" t="s">
        <v>440</v>
      </c>
      <c r="F61" s="4" t="s">
        <v>441</v>
      </c>
      <c r="G61" s="6" t="s">
        <v>442</v>
      </c>
      <c r="H61" s="4" t="str">
        <f t="shared" si="0"/>
        <v>70.65</v>
      </c>
      <c r="I61" s="3">
        <v>46204</v>
      </c>
      <c r="J61" s="6">
        <v>335</v>
      </c>
      <c r="K61" s="6">
        <v>442.8</v>
      </c>
      <c r="L61" s="6" t="s">
        <v>443</v>
      </c>
      <c r="M61" s="4" t="s">
        <v>444</v>
      </c>
      <c r="N61" s="4" t="s">
        <v>197</v>
      </c>
      <c r="O61" s="6">
        <v>379.62</v>
      </c>
      <c r="P61" s="6">
        <v>10.82</v>
      </c>
      <c r="Q61" s="4">
        <v>38.2</v>
      </c>
      <c r="R61" s="6">
        <v>6.75</v>
      </c>
      <c r="S61" s="6">
        <v>1.62</v>
      </c>
      <c r="T61">
        <f t="shared" si="1"/>
        <v>0.319999999999993</v>
      </c>
      <c r="U61" s="18">
        <v>83.5</v>
      </c>
      <c r="V61" s="18">
        <f t="shared" si="2"/>
        <v>154.15</v>
      </c>
      <c r="W61" s="18">
        <f t="shared" si="3"/>
        <v>5.32000000000001</v>
      </c>
      <c r="X61" s="18">
        <f t="shared" si="4"/>
        <v>777.8</v>
      </c>
      <c r="Y61" s="18"/>
      <c r="Z61" s="18"/>
    </row>
    <row r="62" ht="29.25" spans="1:31">
      <c r="A62">
        <v>2005</v>
      </c>
      <c r="B62" s="3">
        <v>46235</v>
      </c>
      <c r="C62" s="4" t="s">
        <v>445</v>
      </c>
      <c r="D62" s="4" t="s">
        <v>446</v>
      </c>
      <c r="E62" s="4" t="s">
        <v>447</v>
      </c>
      <c r="F62" s="4" t="s">
        <v>448</v>
      </c>
      <c r="G62" s="4" t="s">
        <v>449</v>
      </c>
      <c r="H62" s="4" t="str">
        <f t="shared" si="0"/>
        <v>71.85</v>
      </c>
      <c r="I62" s="3">
        <v>46235</v>
      </c>
      <c r="J62" s="6">
        <v>338</v>
      </c>
      <c r="K62" s="4">
        <v>448.6</v>
      </c>
      <c r="L62" s="4" t="s">
        <v>450</v>
      </c>
      <c r="M62" s="4" t="s">
        <v>451</v>
      </c>
      <c r="N62" s="4" t="s">
        <v>66</v>
      </c>
      <c r="O62" s="4">
        <v>377.56</v>
      </c>
      <c r="P62" s="6">
        <v>10.87</v>
      </c>
      <c r="Q62" s="4">
        <v>41.5</v>
      </c>
      <c r="R62" s="4">
        <v>6.12</v>
      </c>
      <c r="S62" s="4">
        <v>1.88</v>
      </c>
      <c r="T62">
        <f t="shared" si="1"/>
        <v>1.07000000000001</v>
      </c>
      <c r="U62" s="18">
        <v>82.8</v>
      </c>
      <c r="V62" s="18">
        <f t="shared" si="2"/>
        <v>154.65</v>
      </c>
      <c r="W62" s="18">
        <f t="shared" si="3"/>
        <v>6.5</v>
      </c>
      <c r="X62" s="18">
        <f t="shared" si="4"/>
        <v>786.6</v>
      </c>
      <c r="Y62" s="18"/>
      <c r="Z62" s="18"/>
    </row>
    <row r="63" ht="29.25" spans="1:31">
      <c r="A63">
        <v>2005</v>
      </c>
      <c r="B63" s="3">
        <v>46266</v>
      </c>
      <c r="C63" s="4" t="s">
        <v>452</v>
      </c>
      <c r="D63" s="6" t="s">
        <v>453</v>
      </c>
      <c r="E63" s="6" t="s">
        <v>454</v>
      </c>
      <c r="F63" s="4" t="s">
        <v>455</v>
      </c>
      <c r="G63" s="4" t="s">
        <v>456</v>
      </c>
      <c r="H63" s="4" t="str">
        <f t="shared" si="0"/>
        <v>73.12</v>
      </c>
      <c r="I63" s="3">
        <v>46266</v>
      </c>
      <c r="J63" s="6">
        <v>345</v>
      </c>
      <c r="K63" s="4">
        <v>465.4</v>
      </c>
      <c r="L63" s="4" t="s">
        <v>457</v>
      </c>
      <c r="M63" s="6" t="s">
        <v>338</v>
      </c>
      <c r="N63" s="4" t="s">
        <v>236</v>
      </c>
      <c r="O63" s="4">
        <v>375.93</v>
      </c>
      <c r="P63" s="4">
        <v>10.58</v>
      </c>
      <c r="Q63" s="4">
        <v>44.8</v>
      </c>
      <c r="R63" s="6">
        <v>4.85</v>
      </c>
      <c r="S63" s="6">
        <v>3.52</v>
      </c>
      <c r="T63">
        <f t="shared" si="1"/>
        <v>-2.28</v>
      </c>
      <c r="U63" s="18">
        <v>86.2</v>
      </c>
      <c r="V63" s="18">
        <f t="shared" si="2"/>
        <v>159.32</v>
      </c>
      <c r="W63" s="18">
        <f t="shared" si="3"/>
        <v>7.76000000000001</v>
      </c>
      <c r="X63" s="18">
        <f t="shared" si="4"/>
        <v>810.4</v>
      </c>
      <c r="Y63" s="18"/>
      <c r="Z63" s="18"/>
    </row>
    <row r="64" ht="29.25" spans="1:31">
      <c r="A64">
        <v>2005</v>
      </c>
      <c r="B64" s="3">
        <v>46296</v>
      </c>
      <c r="C64" s="4" t="s">
        <v>458</v>
      </c>
      <c r="D64" s="4" t="s">
        <v>459</v>
      </c>
      <c r="E64" s="4" t="s">
        <v>460</v>
      </c>
      <c r="F64" s="4" t="s">
        <v>461</v>
      </c>
      <c r="G64" s="4" t="s">
        <v>462</v>
      </c>
      <c r="H64" s="4" t="str">
        <f t="shared" si="0"/>
        <v>74.90</v>
      </c>
      <c r="I64" s="3">
        <v>46296</v>
      </c>
      <c r="J64" s="6">
        <v>355</v>
      </c>
      <c r="K64" s="4">
        <v>490.2</v>
      </c>
      <c r="L64" s="4" t="s">
        <v>463</v>
      </c>
      <c r="M64" s="4" t="s">
        <v>464</v>
      </c>
      <c r="N64" s="4" t="s">
        <v>465</v>
      </c>
      <c r="O64" s="4">
        <v>376.15</v>
      </c>
      <c r="P64" s="4">
        <v>10.25</v>
      </c>
      <c r="Q64" s="6">
        <v>52.3</v>
      </c>
      <c r="R64" s="4">
        <v>4.45</v>
      </c>
      <c r="S64" s="4">
        <v>4.05</v>
      </c>
      <c r="T64">
        <f t="shared" si="1"/>
        <v>5.47</v>
      </c>
      <c r="U64" s="18">
        <v>78.5</v>
      </c>
      <c r="V64" s="18">
        <f t="shared" si="2"/>
        <v>153.4</v>
      </c>
      <c r="W64" s="18">
        <f t="shared" si="3"/>
        <v>9.53</v>
      </c>
      <c r="X64" s="18">
        <f t="shared" si="4"/>
        <v>845.2</v>
      </c>
      <c r="Y64" s="18"/>
      <c r="Z64" s="18"/>
    </row>
    <row r="65" ht="29.25" spans="1:31">
      <c r="A65">
        <v>2005</v>
      </c>
      <c r="B65" s="3">
        <v>46327</v>
      </c>
      <c r="C65" s="4" t="s">
        <v>466</v>
      </c>
      <c r="D65" s="4" t="s">
        <v>467</v>
      </c>
      <c r="E65" s="4" t="s">
        <v>468</v>
      </c>
      <c r="F65" s="4" t="s">
        <v>469</v>
      </c>
      <c r="G65" s="4" t="s">
        <v>470</v>
      </c>
      <c r="H65" s="4" t="str">
        <f t="shared" si="0"/>
        <v>76.55</v>
      </c>
      <c r="I65" s="3">
        <v>46327</v>
      </c>
      <c r="J65" s="6">
        <v>362</v>
      </c>
      <c r="K65" s="4">
        <v>512.7</v>
      </c>
      <c r="L65" s="4" t="s">
        <v>471</v>
      </c>
      <c r="M65" s="4" t="s">
        <v>472</v>
      </c>
      <c r="N65" s="4" t="s">
        <v>473</v>
      </c>
      <c r="O65" s="4">
        <v>377.41</v>
      </c>
      <c r="P65" s="4">
        <v>10.11</v>
      </c>
      <c r="Q65" s="6">
        <v>55.6</v>
      </c>
      <c r="R65" s="4">
        <v>3.82</v>
      </c>
      <c r="S65" s="4">
        <v>4.68</v>
      </c>
      <c r="T65">
        <f t="shared" si="1"/>
        <v>7.52</v>
      </c>
      <c r="U65" s="18">
        <v>76.5</v>
      </c>
      <c r="V65" s="18">
        <f t="shared" si="2"/>
        <v>153.05</v>
      </c>
      <c r="W65" s="18">
        <f t="shared" si="3"/>
        <v>11.17</v>
      </c>
      <c r="X65" s="18">
        <f t="shared" si="4"/>
        <v>874.7</v>
      </c>
      <c r="Y65" s="18"/>
      <c r="Z65" s="18"/>
    </row>
    <row r="66" ht="30" spans="1:31">
      <c r="A66">
        <v>2005</v>
      </c>
      <c r="B66" s="3">
        <v>46357</v>
      </c>
      <c r="C66" s="4" t="s">
        <v>474</v>
      </c>
      <c r="D66" s="4" t="s">
        <v>475</v>
      </c>
      <c r="E66" s="4" t="s">
        <v>476</v>
      </c>
      <c r="F66" s="4" t="s">
        <v>477</v>
      </c>
      <c r="G66" s="6" t="s">
        <v>478</v>
      </c>
      <c r="H66" s="4" t="str">
        <f t="shared" si="0"/>
        <v>78.20</v>
      </c>
      <c r="I66" s="3">
        <v>46357</v>
      </c>
      <c r="J66" s="6">
        <v>370</v>
      </c>
      <c r="K66" s="6">
        <v>534.5</v>
      </c>
      <c r="L66" s="4" t="s">
        <v>479</v>
      </c>
      <c r="M66" s="6" t="s">
        <v>480</v>
      </c>
      <c r="N66" s="6" t="s">
        <v>481</v>
      </c>
      <c r="O66" s="4">
        <v>378.93</v>
      </c>
      <c r="P66" s="4">
        <v>10.02</v>
      </c>
      <c r="Q66" s="6">
        <v>58.2</v>
      </c>
      <c r="R66" s="4">
        <v>3.55</v>
      </c>
      <c r="S66" s="4">
        <v>5.02</v>
      </c>
      <c r="T66">
        <f t="shared" si="1"/>
        <v>9.56999999999999</v>
      </c>
      <c r="U66" s="18">
        <v>74.5</v>
      </c>
      <c r="V66" s="18">
        <f t="shared" si="2"/>
        <v>152.7</v>
      </c>
      <c r="W66" s="18">
        <f t="shared" si="3"/>
        <v>12.8</v>
      </c>
      <c r="X66" s="18">
        <f t="shared" si="4"/>
        <v>904.5</v>
      </c>
      <c r="Y66" s="18">
        <f>AVERAGE(X55:X66)</f>
        <v>851.758333333333</v>
      </c>
      <c r="Z66" s="18">
        <f>AVERAGE(W55:W57)</f>
        <v>12.8766666666667</v>
      </c>
      <c r="AA66">
        <f>(SUM(U55:U66)-SUM(U61:U63))/9</f>
        <v>78.2</v>
      </c>
      <c r="AB66">
        <f>AVERAGE(T55:T66)</f>
        <v>4.10833333333333</v>
      </c>
      <c r="AC66">
        <f>(SUM(T55:T66)-T63-T56)/10</f>
        <v>5.38</v>
      </c>
      <c r="AD66" cm="1">
        <f t="array" ref="AD66">(SUM(T55:T57-T56))/2</f>
        <v>10.95</v>
      </c>
      <c r="AE66">
        <f>AVERAGE(V55:V66)</f>
        <v>154.705833333333</v>
      </c>
    </row>
    <row r="67" ht="60.75" spans="1:31">
      <c r="B67" s="6" t="s">
        <v>482</v>
      </c>
      <c r="C67" s="6" t="s">
        <v>396</v>
      </c>
      <c r="D67" s="6" t="s">
        <v>8</v>
      </c>
      <c r="E67" s="6" t="s">
        <v>124</v>
      </c>
      <c r="F67" s="6" t="s">
        <v>10</v>
      </c>
      <c r="G67" s="6" t="s">
        <v>125</v>
      </c>
      <c r="H67" s="4" t="str">
        <f t="shared" ref="H67:H130" si="5">LEFT(G67,5)</f>
        <v>650 氢</v>
      </c>
      <c r="I67" s="6" t="s">
        <v>482</v>
      </c>
      <c r="J67" s="6" t="s">
        <v>126</v>
      </c>
      <c r="K67" s="6" t="s">
        <v>126</v>
      </c>
      <c r="L67" s="6" t="s">
        <v>127</v>
      </c>
      <c r="M67" s="6" t="s">
        <v>15</v>
      </c>
      <c r="N67" s="6" t="s">
        <v>16</v>
      </c>
      <c r="O67" s="6" t="s">
        <v>17</v>
      </c>
      <c r="P67" s="6" t="s">
        <v>18</v>
      </c>
      <c r="Q67" s="6" t="s">
        <v>19</v>
      </c>
      <c r="R67" s="6" t="s">
        <v>128</v>
      </c>
      <c r="S67" s="6" t="s">
        <v>21</v>
      </c>
      <c r="T67" t="e">
        <f t="shared" ref="T67:T130" si="6">LEFT(C67,5)-LEFT(D67,4)</f>
        <v>#VALUE!</v>
      </c>
      <c r="U67" s="19" t="s">
        <v>129</v>
      </c>
      <c r="V67" s="18" t="e">
        <f t="shared" ref="V67:V130" si="7">LEFT(D67,4)+LEFT(G67,5)</f>
        <v>#VALUE!</v>
      </c>
      <c r="W67" s="18" t="e">
        <f t="shared" ref="W67:W130" si="8">LEFT(G67,5)-LEFT(F67,5)</f>
        <v>#VALUE!</v>
      </c>
      <c r="X67" s="18">
        <f t="shared" ref="X67:X130" si="9">SUM(J67:K67)</f>
        <v>0</v>
      </c>
      <c r="Y67" s="18"/>
      <c r="Z67" s="18"/>
    </row>
    <row r="68" ht="30" spans="1:31">
      <c r="A68">
        <v>2006</v>
      </c>
      <c r="B68" s="3">
        <v>46023</v>
      </c>
      <c r="C68" s="4" t="s">
        <v>483</v>
      </c>
      <c r="D68" s="4" t="s">
        <v>484</v>
      </c>
      <c r="E68" s="4" t="s">
        <v>485</v>
      </c>
      <c r="F68" s="4" t="s">
        <v>486</v>
      </c>
      <c r="G68" s="6" t="s">
        <v>487</v>
      </c>
      <c r="H68" s="4" t="str">
        <f t="shared" si="5"/>
        <v>78.45</v>
      </c>
      <c r="I68" s="3">
        <v>46023</v>
      </c>
      <c r="J68" s="6">
        <v>388</v>
      </c>
      <c r="K68" s="6">
        <v>525.6</v>
      </c>
      <c r="L68" s="6" t="s">
        <v>488</v>
      </c>
      <c r="M68" s="6" t="s">
        <v>489</v>
      </c>
      <c r="N68" s="6" t="s">
        <v>220</v>
      </c>
      <c r="O68" s="4">
        <v>380.19</v>
      </c>
      <c r="P68" s="4">
        <v>10.05</v>
      </c>
      <c r="Q68" s="4">
        <v>28.5</v>
      </c>
      <c r="R68" s="4">
        <v>3.35</v>
      </c>
      <c r="S68" s="4">
        <v>4.85</v>
      </c>
      <c r="T68">
        <f t="shared" si="6"/>
        <v>10.92</v>
      </c>
      <c r="U68" s="18">
        <v>73.2</v>
      </c>
      <c r="V68" s="18">
        <f t="shared" si="7"/>
        <v>151.65</v>
      </c>
      <c r="W68" s="18">
        <f t="shared" si="8"/>
        <v>13.04</v>
      </c>
      <c r="X68" s="18">
        <f t="shared" si="9"/>
        <v>913.6</v>
      </c>
      <c r="Y68" s="18"/>
      <c r="Z68" s="18"/>
    </row>
    <row r="69" ht="29.25" spans="1:31">
      <c r="A69">
        <v>2006</v>
      </c>
      <c r="B69" s="3">
        <v>46054</v>
      </c>
      <c r="C69" s="4" t="s">
        <v>490</v>
      </c>
      <c r="D69" s="4" t="s">
        <v>491</v>
      </c>
      <c r="E69" s="4" t="s">
        <v>492</v>
      </c>
      <c r="F69" s="4" t="s">
        <v>493</v>
      </c>
      <c r="G69" s="4" t="s">
        <v>494</v>
      </c>
      <c r="H69" s="4" t="str">
        <f t="shared" si="5"/>
        <v>77.90</v>
      </c>
      <c r="I69" s="3">
        <v>46054</v>
      </c>
      <c r="J69" s="6">
        <v>390</v>
      </c>
      <c r="K69" s="4">
        <v>512.3</v>
      </c>
      <c r="L69" s="4" t="s">
        <v>495</v>
      </c>
      <c r="M69" s="4" t="s">
        <v>496</v>
      </c>
      <c r="N69" s="4" t="s">
        <v>308</v>
      </c>
      <c r="O69" s="4">
        <v>381.16</v>
      </c>
      <c r="P69" s="4">
        <v>10.12</v>
      </c>
      <c r="Q69" s="4">
        <v>29.2</v>
      </c>
      <c r="R69" s="4">
        <v>3.52</v>
      </c>
      <c r="S69" s="4">
        <v>4.24</v>
      </c>
      <c r="T69">
        <f t="shared" si="6"/>
        <v>10.17</v>
      </c>
      <c r="U69" s="18">
        <v>74</v>
      </c>
      <c r="V69" s="18">
        <f t="shared" si="7"/>
        <v>151.9</v>
      </c>
      <c r="W69" s="18">
        <f t="shared" si="8"/>
        <v>12.48</v>
      </c>
      <c r="X69" s="18">
        <f t="shared" si="9"/>
        <v>902.3</v>
      </c>
      <c r="Y69" s="18"/>
      <c r="Z69" s="18"/>
    </row>
    <row r="70" ht="29.25" spans="1:31">
      <c r="A70">
        <v>2006</v>
      </c>
      <c r="B70" s="3">
        <v>46082</v>
      </c>
      <c r="C70" s="4" t="s">
        <v>497</v>
      </c>
      <c r="D70" s="4" t="s">
        <v>498</v>
      </c>
      <c r="E70" s="4" t="s">
        <v>499</v>
      </c>
      <c r="F70" s="4" t="s">
        <v>500</v>
      </c>
      <c r="G70" s="4" t="s">
        <v>501</v>
      </c>
      <c r="H70" s="4" t="str">
        <f t="shared" si="5"/>
        <v>76.85</v>
      </c>
      <c r="I70" s="3">
        <v>46082</v>
      </c>
      <c r="J70" s="6">
        <v>382</v>
      </c>
      <c r="K70" s="4">
        <v>488.4</v>
      </c>
      <c r="L70" s="4" t="s">
        <v>502</v>
      </c>
      <c r="M70" s="4" t="s">
        <v>503</v>
      </c>
      <c r="N70" s="4" t="s">
        <v>243</v>
      </c>
      <c r="O70" s="4">
        <v>382.35</v>
      </c>
      <c r="P70" s="4">
        <v>10.21</v>
      </c>
      <c r="Q70" s="4">
        <v>32.8</v>
      </c>
      <c r="R70" s="4">
        <v>3.98</v>
      </c>
      <c r="S70" s="4">
        <v>3.92</v>
      </c>
      <c r="T70">
        <f t="shared" si="6"/>
        <v>8.42</v>
      </c>
      <c r="U70" s="18">
        <v>75.8</v>
      </c>
      <c r="V70" s="18">
        <f t="shared" si="7"/>
        <v>152.65</v>
      </c>
      <c r="W70" s="18">
        <f t="shared" si="8"/>
        <v>11.41</v>
      </c>
      <c r="X70" s="18">
        <f t="shared" si="9"/>
        <v>870.4</v>
      </c>
      <c r="Y70" s="18"/>
      <c r="Z70" s="18"/>
    </row>
    <row r="71" ht="29.25" spans="1:31">
      <c r="A71">
        <v>2006</v>
      </c>
      <c r="B71" s="3">
        <v>46113</v>
      </c>
      <c r="C71" s="4" t="s">
        <v>504</v>
      </c>
      <c r="D71" s="4" t="s">
        <v>505</v>
      </c>
      <c r="E71" s="4" t="s">
        <v>506</v>
      </c>
      <c r="F71" s="4" t="s">
        <v>507</v>
      </c>
      <c r="G71" s="4" t="s">
        <v>508</v>
      </c>
      <c r="H71" s="4" t="str">
        <f t="shared" si="5"/>
        <v>75.12</v>
      </c>
      <c r="I71" s="3">
        <v>46113</v>
      </c>
      <c r="J71" s="6">
        <v>375</v>
      </c>
      <c r="K71" s="4">
        <v>465.1</v>
      </c>
      <c r="L71" s="4" t="s">
        <v>509</v>
      </c>
      <c r="M71" s="4" t="s">
        <v>510</v>
      </c>
      <c r="N71" s="4" t="s">
        <v>153</v>
      </c>
      <c r="O71" s="4">
        <v>383.61</v>
      </c>
      <c r="P71" s="4">
        <v>10.38</v>
      </c>
      <c r="Q71" s="4">
        <v>35.4</v>
      </c>
      <c r="R71" s="4">
        <v>4.52</v>
      </c>
      <c r="S71" s="4">
        <v>2.85</v>
      </c>
      <c r="T71">
        <f t="shared" si="6"/>
        <v>7.06999999999999</v>
      </c>
      <c r="U71" s="18">
        <v>77.2</v>
      </c>
      <c r="V71" s="18">
        <f t="shared" si="7"/>
        <v>152.32</v>
      </c>
      <c r="W71" s="18">
        <f t="shared" si="8"/>
        <v>9.67</v>
      </c>
      <c r="X71" s="18">
        <f t="shared" si="9"/>
        <v>840.1</v>
      </c>
      <c r="Y71" s="18"/>
      <c r="Z71" s="18"/>
    </row>
    <row r="72" ht="29.25" spans="1:31">
      <c r="A72">
        <v>2006</v>
      </c>
      <c r="B72" s="3">
        <v>46143</v>
      </c>
      <c r="C72" s="4" t="s">
        <v>511</v>
      </c>
      <c r="D72" s="4" t="s">
        <v>512</v>
      </c>
      <c r="E72" s="4" t="s">
        <v>513</v>
      </c>
      <c r="F72" s="4" t="s">
        <v>514</v>
      </c>
      <c r="G72" s="4" t="s">
        <v>515</v>
      </c>
      <c r="H72" s="4" t="str">
        <f t="shared" si="5"/>
        <v>72.80</v>
      </c>
      <c r="I72" s="3">
        <v>46143</v>
      </c>
      <c r="J72" s="6">
        <v>368</v>
      </c>
      <c r="K72" s="4">
        <v>442.7</v>
      </c>
      <c r="L72" s="4" t="s">
        <v>516</v>
      </c>
      <c r="M72" s="4" t="s">
        <v>517</v>
      </c>
      <c r="N72" s="4" t="s">
        <v>58</v>
      </c>
      <c r="O72" s="6">
        <v>384.34</v>
      </c>
      <c r="P72" s="4">
        <v>10.55</v>
      </c>
      <c r="Q72" s="4">
        <v>38.2</v>
      </c>
      <c r="R72" s="4">
        <v>5.12</v>
      </c>
      <c r="S72" s="4">
        <v>2.15</v>
      </c>
      <c r="T72">
        <f t="shared" si="6"/>
        <v>5.52</v>
      </c>
      <c r="U72" s="18">
        <v>78.8</v>
      </c>
      <c r="V72" s="18">
        <f t="shared" si="7"/>
        <v>151.6</v>
      </c>
      <c r="W72" s="18">
        <f t="shared" si="8"/>
        <v>7.34</v>
      </c>
      <c r="X72" s="18">
        <f t="shared" si="9"/>
        <v>810.7</v>
      </c>
      <c r="Y72" s="18"/>
      <c r="Z72" s="18"/>
    </row>
    <row r="73" ht="29.25" spans="1:31">
      <c r="A73">
        <v>2006</v>
      </c>
      <c r="B73" s="3">
        <v>46174</v>
      </c>
      <c r="C73" s="4" t="s">
        <v>518</v>
      </c>
      <c r="D73" s="4" t="s">
        <v>519</v>
      </c>
      <c r="E73" s="4" t="s">
        <v>520</v>
      </c>
      <c r="F73" s="4" t="s">
        <v>521</v>
      </c>
      <c r="G73" s="4" t="s">
        <v>522</v>
      </c>
      <c r="H73" s="4" t="str">
        <f t="shared" si="5"/>
        <v>70.95</v>
      </c>
      <c r="I73" s="3">
        <v>46174</v>
      </c>
      <c r="J73" s="6">
        <v>355</v>
      </c>
      <c r="K73" s="4">
        <v>425.8</v>
      </c>
      <c r="L73" s="6" t="s">
        <v>523</v>
      </c>
      <c r="M73" s="4" t="s">
        <v>524</v>
      </c>
      <c r="N73" s="4" t="s">
        <v>50</v>
      </c>
      <c r="O73" s="4">
        <v>384.02</v>
      </c>
      <c r="P73" s="4">
        <v>10.72</v>
      </c>
      <c r="Q73" s="4">
        <v>34.5</v>
      </c>
      <c r="R73" s="4">
        <v>5.95</v>
      </c>
      <c r="S73" s="4">
        <v>1.82</v>
      </c>
      <c r="T73">
        <f t="shared" si="6"/>
        <v>3.37</v>
      </c>
      <c r="U73" s="18">
        <v>81</v>
      </c>
      <c r="V73" s="18">
        <f t="shared" si="7"/>
        <v>151.95</v>
      </c>
      <c r="W73" s="18">
        <f t="shared" si="8"/>
        <v>5.48</v>
      </c>
      <c r="X73" s="18">
        <f t="shared" si="9"/>
        <v>780.8</v>
      </c>
      <c r="Y73" s="18"/>
      <c r="Z73" s="18"/>
    </row>
    <row r="74" ht="30" spans="1:31">
      <c r="A74">
        <v>2006</v>
      </c>
      <c r="B74" s="3">
        <v>46204</v>
      </c>
      <c r="C74" s="4" t="s">
        <v>525</v>
      </c>
      <c r="D74" s="4" t="s">
        <v>526</v>
      </c>
      <c r="E74" s="4" t="s">
        <v>527</v>
      </c>
      <c r="F74" s="4" t="s">
        <v>528</v>
      </c>
      <c r="G74" s="6" t="s">
        <v>529</v>
      </c>
      <c r="H74" s="4" t="str">
        <f t="shared" si="5"/>
        <v>70.15</v>
      </c>
      <c r="I74" s="3">
        <v>46204</v>
      </c>
      <c r="J74" s="6">
        <v>348</v>
      </c>
      <c r="K74" s="6">
        <v>418.2</v>
      </c>
      <c r="L74" s="6" t="s">
        <v>530</v>
      </c>
      <c r="M74" s="4" t="s">
        <v>531</v>
      </c>
      <c r="N74" s="4" t="s">
        <v>42</v>
      </c>
      <c r="O74" s="4">
        <v>382.1</v>
      </c>
      <c r="P74" s="6">
        <v>10.88</v>
      </c>
      <c r="Q74" s="4">
        <v>33.1</v>
      </c>
      <c r="R74" s="6">
        <v>6.52</v>
      </c>
      <c r="S74" s="6">
        <v>1.45</v>
      </c>
      <c r="T74">
        <f t="shared" si="6"/>
        <v>1.22</v>
      </c>
      <c r="U74" s="18">
        <v>83.2</v>
      </c>
      <c r="V74" s="18">
        <f t="shared" si="7"/>
        <v>153.35</v>
      </c>
      <c r="W74" s="18">
        <f t="shared" si="8"/>
        <v>4.67</v>
      </c>
      <c r="X74" s="18">
        <f t="shared" si="9"/>
        <v>766.2</v>
      </c>
      <c r="Y74" s="18"/>
      <c r="Z74" s="18"/>
    </row>
    <row r="75" ht="29.25" spans="1:31">
      <c r="A75">
        <v>2006</v>
      </c>
      <c r="B75" s="3">
        <v>46235</v>
      </c>
      <c r="C75" s="4" t="s">
        <v>532</v>
      </c>
      <c r="D75" s="4" t="s">
        <v>533</v>
      </c>
      <c r="E75" s="4" t="s">
        <v>534</v>
      </c>
      <c r="F75" s="4" t="s">
        <v>535</v>
      </c>
      <c r="G75" s="4" t="s">
        <v>536</v>
      </c>
      <c r="H75" s="4" t="str">
        <f t="shared" si="5"/>
        <v>71.30</v>
      </c>
      <c r="I75" s="3">
        <v>46235</v>
      </c>
      <c r="J75" s="6">
        <v>352</v>
      </c>
      <c r="K75" s="4">
        <v>422.5</v>
      </c>
      <c r="L75" s="4" t="s">
        <v>537</v>
      </c>
      <c r="M75" s="4" t="s">
        <v>538</v>
      </c>
      <c r="N75" s="4" t="s">
        <v>82</v>
      </c>
      <c r="O75" s="4">
        <v>380.01</v>
      </c>
      <c r="P75" s="6">
        <v>10.94</v>
      </c>
      <c r="Q75" s="4">
        <v>36.8</v>
      </c>
      <c r="R75" s="4">
        <v>5.82</v>
      </c>
      <c r="S75" s="4">
        <v>1.62</v>
      </c>
      <c r="T75">
        <f t="shared" si="6"/>
        <v>1.95999999999999</v>
      </c>
      <c r="U75" s="18">
        <v>82.5</v>
      </c>
      <c r="V75" s="18">
        <f t="shared" si="7"/>
        <v>153.8</v>
      </c>
      <c r="W75" s="18">
        <f t="shared" si="8"/>
        <v>5.8</v>
      </c>
      <c r="X75" s="18">
        <f t="shared" si="9"/>
        <v>774.5</v>
      </c>
      <c r="Y75" s="18"/>
      <c r="Z75" s="18"/>
    </row>
    <row r="76" ht="29.25" spans="1:31">
      <c r="A76">
        <v>2006</v>
      </c>
      <c r="B76" s="3">
        <v>46266</v>
      </c>
      <c r="C76" s="4" t="s">
        <v>539</v>
      </c>
      <c r="D76" s="4" t="s">
        <v>540</v>
      </c>
      <c r="E76" s="4" t="s">
        <v>541</v>
      </c>
      <c r="F76" s="4" t="s">
        <v>542</v>
      </c>
      <c r="G76" s="4" t="s">
        <v>543</v>
      </c>
      <c r="H76" s="4" t="str">
        <f t="shared" si="5"/>
        <v>72.65</v>
      </c>
      <c r="I76" s="3">
        <v>46266</v>
      </c>
      <c r="J76" s="6">
        <v>360</v>
      </c>
      <c r="K76" s="4">
        <v>438.7</v>
      </c>
      <c r="L76" s="4" t="s">
        <v>544</v>
      </c>
      <c r="M76" s="4" t="s">
        <v>545</v>
      </c>
      <c r="N76" s="4" t="s">
        <v>74</v>
      </c>
      <c r="O76" s="4">
        <v>378.1</v>
      </c>
      <c r="P76" s="4">
        <v>10.65</v>
      </c>
      <c r="Q76" s="4">
        <v>40.2</v>
      </c>
      <c r="R76" s="4">
        <v>4.65</v>
      </c>
      <c r="S76" s="4">
        <v>2.65</v>
      </c>
      <c r="T76">
        <f t="shared" si="6"/>
        <v>5.31</v>
      </c>
      <c r="U76" s="18">
        <v>79.2</v>
      </c>
      <c r="V76" s="18">
        <f t="shared" si="7"/>
        <v>151.85</v>
      </c>
      <c r="W76" s="18">
        <f t="shared" si="8"/>
        <v>7.14</v>
      </c>
      <c r="X76" s="18">
        <f t="shared" si="9"/>
        <v>798.7</v>
      </c>
      <c r="Y76" s="18"/>
      <c r="Z76" s="18"/>
    </row>
    <row r="77" ht="29.25" spans="1:31">
      <c r="A77">
        <v>2006</v>
      </c>
      <c r="B77" s="3">
        <v>46296</v>
      </c>
      <c r="C77" s="4" t="s">
        <v>546</v>
      </c>
      <c r="D77" s="4" t="s">
        <v>547</v>
      </c>
      <c r="E77" s="4" t="s">
        <v>548</v>
      </c>
      <c r="F77" s="4" t="s">
        <v>549</v>
      </c>
      <c r="G77" s="4" t="s">
        <v>550</v>
      </c>
      <c r="H77" s="4" t="str">
        <f t="shared" si="5"/>
        <v>74.20</v>
      </c>
      <c r="I77" s="3">
        <v>46296</v>
      </c>
      <c r="J77" s="6">
        <v>372</v>
      </c>
      <c r="K77" s="4">
        <v>452.4</v>
      </c>
      <c r="L77" s="4" t="s">
        <v>551</v>
      </c>
      <c r="M77" s="4" t="s">
        <v>552</v>
      </c>
      <c r="N77" s="4" t="s">
        <v>66</v>
      </c>
      <c r="O77" s="4">
        <v>378.41</v>
      </c>
      <c r="P77" s="4">
        <v>10.32</v>
      </c>
      <c r="Q77" s="6">
        <v>48.5</v>
      </c>
      <c r="R77" s="4">
        <v>4.15</v>
      </c>
      <c r="S77" s="4">
        <v>3.52</v>
      </c>
      <c r="T77">
        <f t="shared" si="6"/>
        <v>7.06</v>
      </c>
      <c r="U77" s="18">
        <v>77.5</v>
      </c>
      <c r="V77" s="18">
        <f t="shared" si="7"/>
        <v>151.7</v>
      </c>
      <c r="W77" s="18">
        <f t="shared" si="8"/>
        <v>8.68000000000001</v>
      </c>
      <c r="X77" s="18">
        <f t="shared" si="9"/>
        <v>824.4</v>
      </c>
      <c r="Y77" s="18"/>
      <c r="Z77" s="18"/>
    </row>
    <row r="78" ht="29.25" spans="1:31">
      <c r="A78">
        <v>2006</v>
      </c>
      <c r="B78" s="3">
        <v>46327</v>
      </c>
      <c r="C78" s="4" t="s">
        <v>553</v>
      </c>
      <c r="D78" s="4" t="s">
        <v>554</v>
      </c>
      <c r="E78" s="4" t="s">
        <v>555</v>
      </c>
      <c r="F78" s="4" t="s">
        <v>556</v>
      </c>
      <c r="G78" s="4" t="s">
        <v>557</v>
      </c>
      <c r="H78" s="4" t="str">
        <f t="shared" si="5"/>
        <v>76.10</v>
      </c>
      <c r="I78" s="3">
        <v>46327</v>
      </c>
      <c r="J78" s="6">
        <v>378</v>
      </c>
      <c r="K78" s="4">
        <v>475.2</v>
      </c>
      <c r="L78" s="4" t="s">
        <v>558</v>
      </c>
      <c r="M78" s="4" t="s">
        <v>559</v>
      </c>
      <c r="N78" s="4" t="s">
        <v>176</v>
      </c>
      <c r="O78" s="4">
        <v>379.62</v>
      </c>
      <c r="P78" s="4">
        <v>10.18</v>
      </c>
      <c r="Q78" s="6">
        <v>52.1</v>
      </c>
      <c r="R78" s="4">
        <v>3.62</v>
      </c>
      <c r="S78" s="4">
        <v>4.15</v>
      </c>
      <c r="T78">
        <f t="shared" si="6"/>
        <v>8.81</v>
      </c>
      <c r="U78" s="18">
        <v>75.8</v>
      </c>
      <c r="V78" s="18">
        <f t="shared" si="7"/>
        <v>151.9</v>
      </c>
      <c r="W78" s="18">
        <f t="shared" si="8"/>
        <v>10.57</v>
      </c>
      <c r="X78" s="18">
        <f t="shared" si="9"/>
        <v>853.2</v>
      </c>
      <c r="Y78" s="18"/>
      <c r="Z78" s="18"/>
    </row>
    <row r="79" ht="30" spans="1:31">
      <c r="A79">
        <v>2006</v>
      </c>
      <c r="B79" s="3">
        <v>46357</v>
      </c>
      <c r="C79" s="4" t="s">
        <v>560</v>
      </c>
      <c r="D79" s="6" t="s">
        <v>561</v>
      </c>
      <c r="E79" s="6" t="s">
        <v>562</v>
      </c>
      <c r="F79" s="4" t="s">
        <v>563</v>
      </c>
      <c r="G79" s="6" t="s">
        <v>564</v>
      </c>
      <c r="H79" s="4" t="str">
        <f t="shared" si="5"/>
        <v>77.85</v>
      </c>
      <c r="I79" s="3">
        <v>46357</v>
      </c>
      <c r="J79" s="6">
        <v>385</v>
      </c>
      <c r="K79" s="6">
        <v>498.6</v>
      </c>
      <c r="L79" s="4" t="s">
        <v>565</v>
      </c>
      <c r="M79" s="6" t="s">
        <v>566</v>
      </c>
      <c r="N79" s="6" t="s">
        <v>567</v>
      </c>
      <c r="O79" s="4">
        <v>381.25</v>
      </c>
      <c r="P79" s="4">
        <v>10.08</v>
      </c>
      <c r="Q79" s="6">
        <v>55.4</v>
      </c>
      <c r="R79" s="4">
        <v>3.38</v>
      </c>
      <c r="S79" s="4">
        <v>4.52</v>
      </c>
      <c r="T79">
        <f t="shared" si="6"/>
        <v>-0.840000000000003</v>
      </c>
      <c r="U79" s="18">
        <v>85.5</v>
      </c>
      <c r="V79" s="18">
        <f t="shared" si="7"/>
        <v>163.35</v>
      </c>
      <c r="W79" s="18">
        <f t="shared" si="8"/>
        <v>12.3</v>
      </c>
      <c r="X79" s="18">
        <f t="shared" si="9"/>
        <v>883.6</v>
      </c>
      <c r="Y79" s="18">
        <f>AVERAGE(X68:X79)</f>
        <v>834.875</v>
      </c>
      <c r="Z79" s="18">
        <f>AVERAGE(W68:W70)</f>
        <v>12.31</v>
      </c>
      <c r="AA79">
        <f>(SUM(U68:U79)-SUM(U74:U76))/9</f>
        <v>77.6444444444444</v>
      </c>
      <c r="AB79">
        <f>AVERAGE(T68:T79)</f>
        <v>5.74916666666667</v>
      </c>
      <c r="AC79">
        <f>(SUM(T68:T79)-T79)/11</f>
        <v>6.34818181818182</v>
      </c>
      <c r="AD79">
        <f>AVERAGE(T68:T70)</f>
        <v>9.83666666666667</v>
      </c>
      <c r="AE79">
        <f>AVERAGE(V68:V79)</f>
        <v>153.168333333333</v>
      </c>
    </row>
    <row r="80" ht="60.75" spans="1:31">
      <c r="B80" s="6" t="s">
        <v>568</v>
      </c>
      <c r="C80" s="6" t="s">
        <v>396</v>
      </c>
      <c r="D80" s="6" t="s">
        <v>8</v>
      </c>
      <c r="E80" s="6" t="s">
        <v>124</v>
      </c>
      <c r="F80" s="6" t="s">
        <v>10</v>
      </c>
      <c r="G80" s="6" t="s">
        <v>125</v>
      </c>
      <c r="H80" s="4" t="str">
        <f t="shared" si="5"/>
        <v>650 氢</v>
      </c>
      <c r="I80" s="6" t="s">
        <v>568</v>
      </c>
      <c r="J80" s="6" t="s">
        <v>126</v>
      </c>
      <c r="K80" s="6" t="s">
        <v>126</v>
      </c>
      <c r="L80" s="6" t="s">
        <v>127</v>
      </c>
      <c r="M80" s="6" t="s">
        <v>15</v>
      </c>
      <c r="N80" s="6" t="s">
        <v>16</v>
      </c>
      <c r="O80" s="6" t="s">
        <v>17</v>
      </c>
      <c r="P80" s="6" t="s">
        <v>18</v>
      </c>
      <c r="Q80" s="6" t="s">
        <v>19</v>
      </c>
      <c r="R80" s="6" t="s">
        <v>128</v>
      </c>
      <c r="S80" s="6" t="s">
        <v>21</v>
      </c>
      <c r="T80" t="e">
        <f t="shared" si="6"/>
        <v>#VALUE!</v>
      </c>
      <c r="U80" s="19" t="s">
        <v>129</v>
      </c>
      <c r="V80" s="18" t="e">
        <f t="shared" si="7"/>
        <v>#VALUE!</v>
      </c>
      <c r="W80" s="18" t="e">
        <f t="shared" si="8"/>
        <v>#VALUE!</v>
      </c>
      <c r="X80" s="18">
        <f t="shared" si="9"/>
        <v>0</v>
      </c>
      <c r="Y80" s="18"/>
      <c r="Z80" s="18"/>
    </row>
    <row r="81" ht="30.75" spans="1:31">
      <c r="A81">
        <v>2007</v>
      </c>
      <c r="B81" s="3">
        <v>46023</v>
      </c>
      <c r="C81" s="4" t="s">
        <v>569</v>
      </c>
      <c r="D81" s="4" t="s">
        <v>570</v>
      </c>
      <c r="E81" s="4" t="s">
        <v>571</v>
      </c>
      <c r="F81" s="4" t="s">
        <v>572</v>
      </c>
      <c r="G81" s="6" t="s">
        <v>573</v>
      </c>
      <c r="H81" s="4" t="str">
        <f t="shared" si="5"/>
        <v>77.65</v>
      </c>
      <c r="I81" s="3">
        <v>46023</v>
      </c>
      <c r="J81" s="6">
        <v>372</v>
      </c>
      <c r="K81" s="6">
        <v>508.4</v>
      </c>
      <c r="L81" s="6" t="s">
        <v>574</v>
      </c>
      <c r="M81" s="6" t="s">
        <v>517</v>
      </c>
      <c r="N81" s="6" t="s">
        <v>575</v>
      </c>
      <c r="O81" s="4">
        <v>382.45</v>
      </c>
      <c r="P81" s="4">
        <v>10.12</v>
      </c>
      <c r="Q81" s="6">
        <v>52.4</v>
      </c>
      <c r="R81" s="4">
        <v>3.28</v>
      </c>
      <c r="S81" s="4">
        <v>4.12</v>
      </c>
      <c r="T81">
        <f t="shared" si="6"/>
        <v>11.9</v>
      </c>
      <c r="U81" s="18">
        <v>72.8</v>
      </c>
      <c r="V81" s="18">
        <f t="shared" si="7"/>
        <v>150.45</v>
      </c>
      <c r="W81" s="18">
        <f t="shared" si="8"/>
        <v>12.09</v>
      </c>
      <c r="X81" s="18">
        <f t="shared" si="9"/>
        <v>880.4</v>
      </c>
      <c r="Y81" s="18"/>
      <c r="Z81" s="18"/>
    </row>
    <row r="82" ht="29.25" spans="1:31">
      <c r="A82">
        <v>2007</v>
      </c>
      <c r="B82" s="3">
        <v>46054</v>
      </c>
      <c r="C82" s="4" t="s">
        <v>576</v>
      </c>
      <c r="D82" s="4" t="s">
        <v>577</v>
      </c>
      <c r="E82" s="4" t="s">
        <v>578</v>
      </c>
      <c r="F82" s="4" t="s">
        <v>579</v>
      </c>
      <c r="G82" s="4" t="s">
        <v>580</v>
      </c>
      <c r="H82" s="4" t="str">
        <f t="shared" si="5"/>
        <v>77.20</v>
      </c>
      <c r="I82" s="3">
        <v>46054</v>
      </c>
      <c r="J82" s="6">
        <v>375</v>
      </c>
      <c r="K82" s="4">
        <v>496.2</v>
      </c>
      <c r="L82" s="4" t="s">
        <v>581</v>
      </c>
      <c r="M82" s="4" t="s">
        <v>582</v>
      </c>
      <c r="N82" s="4" t="s">
        <v>331</v>
      </c>
      <c r="O82" s="4">
        <v>383.68</v>
      </c>
      <c r="P82" s="4">
        <v>10.18</v>
      </c>
      <c r="Q82" s="4">
        <v>31.5</v>
      </c>
      <c r="R82" s="4">
        <v>3.45</v>
      </c>
      <c r="S82" s="4">
        <v>3.85</v>
      </c>
      <c r="T82">
        <f t="shared" si="6"/>
        <v>11.25</v>
      </c>
      <c r="U82" s="18">
        <v>73.5</v>
      </c>
      <c r="V82" s="18">
        <f t="shared" si="7"/>
        <v>150.7</v>
      </c>
      <c r="W82" s="18">
        <f t="shared" si="8"/>
        <v>11.63</v>
      </c>
      <c r="X82" s="18">
        <f t="shared" si="9"/>
        <v>871.2</v>
      </c>
      <c r="Y82" s="18"/>
      <c r="Z82" s="18"/>
    </row>
    <row r="83" ht="29.25" spans="1:31">
      <c r="A83">
        <v>2007</v>
      </c>
      <c r="B83" s="3">
        <v>46082</v>
      </c>
      <c r="C83" s="4" t="s">
        <v>583</v>
      </c>
      <c r="D83" s="4" t="s">
        <v>584</v>
      </c>
      <c r="E83" s="4" t="s">
        <v>585</v>
      </c>
      <c r="F83" s="4" t="s">
        <v>586</v>
      </c>
      <c r="G83" s="4" t="s">
        <v>587</v>
      </c>
      <c r="H83" s="4" t="str">
        <f t="shared" si="5"/>
        <v>76.45</v>
      </c>
      <c r="I83" s="3">
        <v>46082</v>
      </c>
      <c r="J83" s="6">
        <v>368</v>
      </c>
      <c r="K83" s="4">
        <v>472.5</v>
      </c>
      <c r="L83" s="4" t="s">
        <v>588</v>
      </c>
      <c r="M83" s="4" t="s">
        <v>589</v>
      </c>
      <c r="N83" s="4" t="s">
        <v>176</v>
      </c>
      <c r="O83" s="4">
        <v>384.29</v>
      </c>
      <c r="P83" s="4">
        <v>10.28</v>
      </c>
      <c r="Q83" s="4">
        <v>33.2</v>
      </c>
      <c r="R83" s="4">
        <v>3.82</v>
      </c>
      <c r="S83" s="4">
        <v>3.58</v>
      </c>
      <c r="T83">
        <f t="shared" si="6"/>
        <v>9.59999999999999</v>
      </c>
      <c r="U83" s="18">
        <v>75.2</v>
      </c>
      <c r="V83" s="18">
        <f t="shared" si="7"/>
        <v>151.65</v>
      </c>
      <c r="W83" s="18">
        <f t="shared" si="8"/>
        <v>10.86</v>
      </c>
      <c r="X83" s="18">
        <f t="shared" si="9"/>
        <v>840.5</v>
      </c>
      <c r="Y83" s="18"/>
      <c r="Z83" s="18"/>
    </row>
    <row r="84" ht="29.25" spans="1:31">
      <c r="A84">
        <v>2007</v>
      </c>
      <c r="B84" s="3">
        <v>46113</v>
      </c>
      <c r="C84" s="4" t="s">
        <v>590</v>
      </c>
      <c r="D84" s="4" t="s">
        <v>591</v>
      </c>
      <c r="E84" s="4" t="s">
        <v>592</v>
      </c>
      <c r="F84" s="4" t="s">
        <v>593</v>
      </c>
      <c r="G84" s="4" t="s">
        <v>594</v>
      </c>
      <c r="H84" s="4" t="str">
        <f t="shared" si="5"/>
        <v>74.90</v>
      </c>
      <c r="I84" s="3">
        <v>46113</v>
      </c>
      <c r="J84" s="6">
        <v>360</v>
      </c>
      <c r="K84" s="4">
        <v>448.3</v>
      </c>
      <c r="L84" s="4" t="s">
        <v>595</v>
      </c>
      <c r="M84" s="4" t="s">
        <v>596</v>
      </c>
      <c r="N84" s="4" t="s">
        <v>137</v>
      </c>
      <c r="O84" s="4">
        <v>385.91</v>
      </c>
      <c r="P84" s="4">
        <v>10.45</v>
      </c>
      <c r="Q84" s="4">
        <v>34.8</v>
      </c>
      <c r="R84" s="4">
        <v>4.35</v>
      </c>
      <c r="S84" s="4">
        <v>2.45</v>
      </c>
      <c r="T84">
        <f t="shared" si="6"/>
        <v>8.04000000000001</v>
      </c>
      <c r="U84" s="18">
        <v>76.8</v>
      </c>
      <c r="V84" s="18">
        <f t="shared" si="7"/>
        <v>151.7</v>
      </c>
      <c r="W84" s="18">
        <f t="shared" si="8"/>
        <v>9.30000000000001</v>
      </c>
      <c r="X84" s="18">
        <f t="shared" si="9"/>
        <v>808.3</v>
      </c>
      <c r="Y84" s="18"/>
      <c r="Z84" s="18"/>
    </row>
    <row r="85" ht="29.25" spans="1:31">
      <c r="A85">
        <v>2007</v>
      </c>
      <c r="B85" s="3">
        <v>46143</v>
      </c>
      <c r="C85" s="4" t="s">
        <v>597</v>
      </c>
      <c r="D85" s="4" t="s">
        <v>598</v>
      </c>
      <c r="E85" s="4" t="s">
        <v>599</v>
      </c>
      <c r="F85" s="4" t="s">
        <v>600</v>
      </c>
      <c r="G85" s="4" t="s">
        <v>601</v>
      </c>
      <c r="H85" s="4" t="str">
        <f t="shared" si="5"/>
        <v>72.35</v>
      </c>
      <c r="I85" s="3">
        <v>46143</v>
      </c>
      <c r="J85" s="6">
        <v>348</v>
      </c>
      <c r="K85" s="4">
        <v>425.6</v>
      </c>
      <c r="L85" s="4" t="s">
        <v>602</v>
      </c>
      <c r="M85" s="4" t="s">
        <v>603</v>
      </c>
      <c r="N85" s="4" t="s">
        <v>74</v>
      </c>
      <c r="O85" s="6">
        <v>386.41</v>
      </c>
      <c r="P85" s="4">
        <v>10.62</v>
      </c>
      <c r="Q85" s="4">
        <v>37.1</v>
      </c>
      <c r="R85" s="4">
        <v>4.95</v>
      </c>
      <c r="S85" s="4">
        <v>1.82</v>
      </c>
      <c r="T85">
        <f t="shared" si="6"/>
        <v>6.39</v>
      </c>
      <c r="U85" s="18">
        <v>78.5</v>
      </c>
      <c r="V85" s="18">
        <f t="shared" si="7"/>
        <v>150.85</v>
      </c>
      <c r="W85" s="18">
        <f t="shared" si="8"/>
        <v>6.73999999999999</v>
      </c>
      <c r="X85" s="18">
        <f t="shared" si="9"/>
        <v>773.6</v>
      </c>
      <c r="Y85" s="18"/>
      <c r="Z85" s="18"/>
    </row>
    <row r="86" ht="30.75" spans="1:31">
      <c r="A86">
        <v>2007</v>
      </c>
      <c r="B86" s="3">
        <v>46174</v>
      </c>
      <c r="C86" s="4" t="s">
        <v>604</v>
      </c>
      <c r="D86" s="4" t="s">
        <v>605</v>
      </c>
      <c r="E86" s="4" t="s">
        <v>606</v>
      </c>
      <c r="F86" s="4" t="s">
        <v>607</v>
      </c>
      <c r="G86" s="4" t="s">
        <v>608</v>
      </c>
      <c r="H86" s="4" t="str">
        <f t="shared" si="5"/>
        <v>70.80</v>
      </c>
      <c r="I86" s="3">
        <v>46174</v>
      </c>
      <c r="J86" s="6">
        <v>340</v>
      </c>
      <c r="K86" s="4">
        <v>408.2</v>
      </c>
      <c r="L86" s="6" t="s">
        <v>609</v>
      </c>
      <c r="M86" s="4" t="s">
        <v>610</v>
      </c>
      <c r="N86" s="4" t="s">
        <v>98</v>
      </c>
      <c r="O86" s="4">
        <v>385.91</v>
      </c>
      <c r="P86" s="4">
        <v>10.81</v>
      </c>
      <c r="Q86" s="4">
        <v>32.5</v>
      </c>
      <c r="R86" s="4">
        <v>5.68</v>
      </c>
      <c r="S86" s="4">
        <v>1.35</v>
      </c>
      <c r="T86">
        <f t="shared" si="6"/>
        <v>4.14</v>
      </c>
      <c r="U86" s="18">
        <v>80.8</v>
      </c>
      <c r="V86" s="18">
        <f t="shared" si="7"/>
        <v>151.6</v>
      </c>
      <c r="W86" s="18">
        <f t="shared" si="8"/>
        <v>5.17999999999999</v>
      </c>
      <c r="X86" s="18">
        <f t="shared" si="9"/>
        <v>748.2</v>
      </c>
      <c r="Y86" s="18"/>
      <c r="Z86" s="18"/>
    </row>
    <row r="87" ht="30" spans="1:31">
      <c r="A87">
        <v>2007</v>
      </c>
      <c r="B87" s="3">
        <v>46204</v>
      </c>
      <c r="C87" s="4" t="s">
        <v>611</v>
      </c>
      <c r="D87" s="4" t="s">
        <v>612</v>
      </c>
      <c r="E87" s="4" t="s">
        <v>613</v>
      </c>
      <c r="F87" s="4" t="s">
        <v>614</v>
      </c>
      <c r="G87" s="6" t="s">
        <v>615</v>
      </c>
      <c r="H87" s="4" t="str">
        <f t="shared" si="5"/>
        <v>69.95</v>
      </c>
      <c r="I87" s="3">
        <v>46204</v>
      </c>
      <c r="J87" s="6">
        <v>332</v>
      </c>
      <c r="K87" s="6">
        <v>396.5</v>
      </c>
      <c r="L87" s="6" t="s">
        <v>616</v>
      </c>
      <c r="M87" s="4" t="s">
        <v>617</v>
      </c>
      <c r="N87" s="4" t="s">
        <v>106</v>
      </c>
      <c r="O87" s="4">
        <v>384.13</v>
      </c>
      <c r="P87" s="6">
        <v>10.96</v>
      </c>
      <c r="Q87" s="4">
        <v>31.8</v>
      </c>
      <c r="R87" s="6">
        <v>6.12</v>
      </c>
      <c r="S87" s="6">
        <v>1.12</v>
      </c>
      <c r="T87">
        <f t="shared" si="6"/>
        <v>1.98</v>
      </c>
      <c r="U87" s="18">
        <v>83</v>
      </c>
      <c r="V87" s="18">
        <f t="shared" si="7"/>
        <v>152.95</v>
      </c>
      <c r="W87" s="18">
        <f t="shared" si="8"/>
        <v>4.32000000000001</v>
      </c>
      <c r="X87" s="18">
        <f t="shared" si="9"/>
        <v>728.5</v>
      </c>
      <c r="Y87" s="18"/>
      <c r="Z87" s="18"/>
    </row>
    <row r="88" ht="29.25" spans="1:31">
      <c r="A88">
        <v>2007</v>
      </c>
      <c r="B88" s="3">
        <v>46235</v>
      </c>
      <c r="C88" s="4" t="s">
        <v>618</v>
      </c>
      <c r="D88" s="4" t="s">
        <v>619</v>
      </c>
      <c r="E88" s="4" t="s">
        <v>620</v>
      </c>
      <c r="F88" s="4" t="s">
        <v>621</v>
      </c>
      <c r="G88" s="4" t="s">
        <v>622</v>
      </c>
      <c r="H88" s="4" t="str">
        <f t="shared" si="5"/>
        <v>71.12</v>
      </c>
      <c r="I88" s="3">
        <v>46235</v>
      </c>
      <c r="J88" s="6">
        <v>336</v>
      </c>
      <c r="K88" s="4">
        <v>402.4</v>
      </c>
      <c r="L88" s="4" t="s">
        <v>623</v>
      </c>
      <c r="M88" s="4" t="s">
        <v>624</v>
      </c>
      <c r="N88" s="4" t="s">
        <v>114</v>
      </c>
      <c r="O88" s="4">
        <v>382</v>
      </c>
      <c r="P88" s="6">
        <v>11.02</v>
      </c>
      <c r="Q88" s="4">
        <v>35.4</v>
      </c>
      <c r="R88" s="4">
        <v>5.42</v>
      </c>
      <c r="S88" s="4">
        <v>1.28</v>
      </c>
      <c r="T88">
        <f t="shared" si="6"/>
        <v>2.83</v>
      </c>
      <c r="U88" s="18">
        <v>82.2</v>
      </c>
      <c r="V88" s="18">
        <f t="shared" si="7"/>
        <v>153.32</v>
      </c>
      <c r="W88" s="18">
        <f t="shared" si="8"/>
        <v>5.47</v>
      </c>
      <c r="X88" s="18">
        <f t="shared" si="9"/>
        <v>738.4</v>
      </c>
      <c r="Y88" s="18"/>
      <c r="Z88" s="18"/>
    </row>
    <row r="89" ht="29.25" spans="1:31">
      <c r="A89">
        <v>2007</v>
      </c>
      <c r="B89" s="3">
        <v>46266</v>
      </c>
      <c r="C89" s="4" t="s">
        <v>625</v>
      </c>
      <c r="D89" s="4" t="s">
        <v>626</v>
      </c>
      <c r="E89" s="4" t="s">
        <v>627</v>
      </c>
      <c r="F89" s="4" t="s">
        <v>628</v>
      </c>
      <c r="G89" s="4" t="s">
        <v>629</v>
      </c>
      <c r="H89" s="4" t="str">
        <f t="shared" si="5"/>
        <v>72.40</v>
      </c>
      <c r="I89" s="3">
        <v>46266</v>
      </c>
      <c r="J89" s="6">
        <v>342</v>
      </c>
      <c r="K89" s="4">
        <v>415.8</v>
      </c>
      <c r="L89" s="4" t="s">
        <v>630</v>
      </c>
      <c r="M89" s="4" t="s">
        <v>631</v>
      </c>
      <c r="N89" s="4" t="s">
        <v>90</v>
      </c>
      <c r="O89" s="4">
        <v>380.18</v>
      </c>
      <c r="P89" s="4">
        <v>10.74</v>
      </c>
      <c r="Q89" s="4">
        <v>38.6</v>
      </c>
      <c r="R89" s="4">
        <v>4.45</v>
      </c>
      <c r="S89" s="4">
        <v>2.15</v>
      </c>
      <c r="T89">
        <f t="shared" si="6"/>
        <v>6.28</v>
      </c>
      <c r="U89" s="18">
        <v>78.8</v>
      </c>
      <c r="V89" s="18">
        <f t="shared" si="7"/>
        <v>151.2</v>
      </c>
      <c r="W89" s="18">
        <f t="shared" si="8"/>
        <v>6.74000000000001</v>
      </c>
      <c r="X89" s="18">
        <f t="shared" si="9"/>
        <v>757.8</v>
      </c>
      <c r="Y89" s="18"/>
      <c r="Z89" s="18"/>
    </row>
    <row r="90" ht="29.25" spans="1:31">
      <c r="A90">
        <v>2007</v>
      </c>
      <c r="B90" s="3">
        <v>46296</v>
      </c>
      <c r="C90" s="4" t="s">
        <v>632</v>
      </c>
      <c r="D90" s="4" t="s">
        <v>633</v>
      </c>
      <c r="E90" s="4" t="s">
        <v>634</v>
      </c>
      <c r="F90" s="4" t="s">
        <v>635</v>
      </c>
      <c r="G90" s="4" t="s">
        <v>636</v>
      </c>
      <c r="H90" s="4" t="str">
        <f t="shared" si="5"/>
        <v>73.85</v>
      </c>
      <c r="I90" s="3">
        <v>46296</v>
      </c>
      <c r="J90" s="6">
        <v>352</v>
      </c>
      <c r="K90" s="4">
        <v>432.1</v>
      </c>
      <c r="L90" s="4" t="s">
        <v>637</v>
      </c>
      <c r="M90" s="6" t="s">
        <v>638</v>
      </c>
      <c r="N90" s="4" t="s">
        <v>197</v>
      </c>
      <c r="O90" s="4">
        <v>380.54</v>
      </c>
      <c r="P90" s="4">
        <v>10.41</v>
      </c>
      <c r="Q90" s="4">
        <v>42.1</v>
      </c>
      <c r="R90" s="4">
        <v>3.92</v>
      </c>
      <c r="S90" s="4">
        <v>3.12</v>
      </c>
      <c r="T90">
        <f t="shared" si="6"/>
        <v>7.92</v>
      </c>
      <c r="U90" s="18">
        <v>77.2</v>
      </c>
      <c r="V90" s="18">
        <f t="shared" si="7"/>
        <v>151.05</v>
      </c>
      <c r="W90" s="18">
        <f t="shared" si="8"/>
        <v>8.17999999999999</v>
      </c>
      <c r="X90" s="18">
        <f t="shared" si="9"/>
        <v>784.1</v>
      </c>
      <c r="Y90" s="18"/>
      <c r="Z90" s="18"/>
    </row>
    <row r="91" ht="29.25" spans="1:31">
      <c r="A91">
        <v>2007</v>
      </c>
      <c r="B91" s="3">
        <v>46327</v>
      </c>
      <c r="C91" s="4" t="s">
        <v>639</v>
      </c>
      <c r="D91" s="4" t="s">
        <v>640</v>
      </c>
      <c r="E91" s="4" t="s">
        <v>641</v>
      </c>
      <c r="F91" s="4" t="s">
        <v>642</v>
      </c>
      <c r="G91" s="4" t="s">
        <v>643</v>
      </c>
      <c r="H91" s="4" t="str">
        <f t="shared" si="5"/>
        <v>75.92</v>
      </c>
      <c r="I91" s="3">
        <v>46327</v>
      </c>
      <c r="J91" s="6">
        <v>358</v>
      </c>
      <c r="K91" s="4">
        <v>458.7</v>
      </c>
      <c r="L91" s="4" t="s">
        <v>644</v>
      </c>
      <c r="M91" s="4" t="s">
        <v>645</v>
      </c>
      <c r="N91" s="4" t="s">
        <v>50</v>
      </c>
      <c r="O91" s="4">
        <v>381.71</v>
      </c>
      <c r="P91" s="4">
        <v>10.25</v>
      </c>
      <c r="Q91" s="6">
        <v>62.8</v>
      </c>
      <c r="R91" s="4">
        <v>3.42</v>
      </c>
      <c r="S91" s="4">
        <v>3.65</v>
      </c>
      <c r="T91">
        <f t="shared" si="6"/>
        <v>9.67</v>
      </c>
      <c r="U91" s="18">
        <v>75.5</v>
      </c>
      <c r="V91" s="18">
        <f t="shared" si="7"/>
        <v>151.42</v>
      </c>
      <c r="W91" s="18">
        <f t="shared" si="8"/>
        <v>10.24</v>
      </c>
      <c r="X91" s="18">
        <f t="shared" si="9"/>
        <v>816.7</v>
      </c>
      <c r="Y91" s="18"/>
      <c r="Z91" s="18"/>
    </row>
    <row r="92" ht="30" spans="1:31">
      <c r="A92">
        <v>2007</v>
      </c>
      <c r="B92" s="3">
        <v>46357</v>
      </c>
      <c r="C92" s="4" t="s">
        <v>646</v>
      </c>
      <c r="D92" s="4" t="s">
        <v>647</v>
      </c>
      <c r="E92" s="4" t="s">
        <v>648</v>
      </c>
      <c r="F92" s="4" t="s">
        <v>649</v>
      </c>
      <c r="G92" s="6" t="s">
        <v>650</v>
      </c>
      <c r="H92" s="4" t="str">
        <f t="shared" si="5"/>
        <v>77.55</v>
      </c>
      <c r="I92" s="3">
        <v>46357</v>
      </c>
      <c r="J92" s="6">
        <v>365</v>
      </c>
      <c r="K92" s="6">
        <v>485.2</v>
      </c>
      <c r="L92" s="4" t="s">
        <v>651</v>
      </c>
      <c r="M92" s="6" t="s">
        <v>652</v>
      </c>
      <c r="N92" s="6" t="s">
        <v>653</v>
      </c>
      <c r="O92" s="4">
        <v>383.42</v>
      </c>
      <c r="P92" s="4">
        <v>10.15</v>
      </c>
      <c r="Q92" s="6">
        <v>65.5</v>
      </c>
      <c r="R92" s="4">
        <v>3.15</v>
      </c>
      <c r="S92" s="4">
        <v>3.98</v>
      </c>
      <c r="T92">
        <f t="shared" si="6"/>
        <v>11.42</v>
      </c>
      <c r="U92" s="18">
        <v>73.8</v>
      </c>
      <c r="V92" s="18">
        <f t="shared" si="7"/>
        <v>151.35</v>
      </c>
      <c r="W92" s="18">
        <f t="shared" si="8"/>
        <v>11.85</v>
      </c>
      <c r="X92" s="18">
        <f t="shared" si="9"/>
        <v>850.2</v>
      </c>
      <c r="Y92" s="18">
        <f>AVERAGE(X81:X92)</f>
        <v>799.825</v>
      </c>
      <c r="Z92" s="18">
        <f>AVERAGE(W81:W83)</f>
        <v>11.5266666666667</v>
      </c>
      <c r="AA92">
        <f>(SUM(U81:U92)-SUM(U87:U89))/9</f>
        <v>76.0111111111111</v>
      </c>
      <c r="AB92">
        <f>AVERAGE(T81:T92)</f>
        <v>7.61833333333333</v>
      </c>
      <c r="AC92">
        <f>SUM(T81:T92)/12</f>
        <v>7.61833333333333</v>
      </c>
      <c r="AD92">
        <f>AVERAGE(T81:T83)</f>
        <v>10.9166666666667</v>
      </c>
      <c r="AE92">
        <f>AVERAGE(V81:V92)</f>
        <v>151.52</v>
      </c>
    </row>
    <row r="93" ht="60.75" spans="1:31">
      <c r="B93" s="6" t="s">
        <v>654</v>
      </c>
      <c r="C93" s="6" t="s">
        <v>396</v>
      </c>
      <c r="D93" s="6" t="s">
        <v>8</v>
      </c>
      <c r="E93" s="6" t="s">
        <v>124</v>
      </c>
      <c r="F93" s="6" t="s">
        <v>10</v>
      </c>
      <c r="G93" s="6" t="s">
        <v>125</v>
      </c>
      <c r="H93" s="4" t="str">
        <f t="shared" si="5"/>
        <v>650 氢</v>
      </c>
      <c r="I93" s="6" t="s">
        <v>654</v>
      </c>
      <c r="J93" s="6" t="s">
        <v>126</v>
      </c>
      <c r="K93" s="6" t="s">
        <v>126</v>
      </c>
      <c r="L93" s="6" t="s">
        <v>127</v>
      </c>
      <c r="M93" s="6" t="s">
        <v>15</v>
      </c>
      <c r="N93" s="6" t="s">
        <v>16</v>
      </c>
      <c r="O93" s="6" t="s">
        <v>17</v>
      </c>
      <c r="P93" s="6" t="s">
        <v>18</v>
      </c>
      <c r="Q93" s="6" t="s">
        <v>19</v>
      </c>
      <c r="R93" s="6" t="s">
        <v>128</v>
      </c>
      <c r="S93" s="6" t="s">
        <v>21</v>
      </c>
      <c r="T93" t="e">
        <f t="shared" si="6"/>
        <v>#VALUE!</v>
      </c>
      <c r="U93" s="19" t="s">
        <v>129</v>
      </c>
      <c r="V93" s="18" t="e">
        <f t="shared" si="7"/>
        <v>#VALUE!</v>
      </c>
      <c r="W93" s="18" t="e">
        <f t="shared" si="8"/>
        <v>#VALUE!</v>
      </c>
      <c r="X93" s="18">
        <f t="shared" si="9"/>
        <v>0</v>
      </c>
      <c r="Y93" s="18"/>
      <c r="Z93" s="18"/>
    </row>
    <row r="94" ht="30.75" spans="1:31">
      <c r="A94">
        <v>2008</v>
      </c>
      <c r="B94" s="3">
        <v>46023</v>
      </c>
      <c r="C94" s="4" t="s">
        <v>655</v>
      </c>
      <c r="D94" s="4" t="s">
        <v>656</v>
      </c>
      <c r="E94" s="4" t="s">
        <v>657</v>
      </c>
      <c r="F94" s="4" t="s">
        <v>658</v>
      </c>
      <c r="G94" s="6" t="s">
        <v>659</v>
      </c>
      <c r="H94" s="4" t="str">
        <f t="shared" si="5"/>
        <v>76.85</v>
      </c>
      <c r="I94" s="3">
        <v>46023</v>
      </c>
      <c r="J94" s="6">
        <v>358</v>
      </c>
      <c r="K94" s="6">
        <v>492.4</v>
      </c>
      <c r="L94" s="6" t="s">
        <v>660</v>
      </c>
      <c r="M94" s="6" t="s">
        <v>661</v>
      </c>
      <c r="N94" s="6" t="s">
        <v>662</v>
      </c>
      <c r="O94" s="4">
        <v>383.88</v>
      </c>
      <c r="P94" s="4">
        <v>10.08</v>
      </c>
      <c r="Q94" s="4">
        <v>24.5</v>
      </c>
      <c r="R94" s="4">
        <v>3.15</v>
      </c>
      <c r="S94" s="4">
        <v>3.82</v>
      </c>
      <c r="T94">
        <f t="shared" si="6"/>
        <v>12.76</v>
      </c>
      <c r="U94" s="18">
        <v>72.5</v>
      </c>
      <c r="V94" s="18">
        <f t="shared" si="7"/>
        <v>149.35</v>
      </c>
      <c r="W94" s="18">
        <f t="shared" si="8"/>
        <v>11.14</v>
      </c>
      <c r="X94" s="18">
        <f t="shared" si="9"/>
        <v>850.4</v>
      </c>
      <c r="Y94" s="18"/>
      <c r="Z94" s="18"/>
    </row>
    <row r="95" ht="29.25" spans="1:31">
      <c r="A95">
        <v>2008</v>
      </c>
      <c r="B95" s="3">
        <v>46054</v>
      </c>
      <c r="C95" s="4" t="s">
        <v>663</v>
      </c>
      <c r="D95" s="4" t="s">
        <v>664</v>
      </c>
      <c r="E95" s="4" t="s">
        <v>665</v>
      </c>
      <c r="F95" s="4" t="s">
        <v>666</v>
      </c>
      <c r="G95" s="4" t="s">
        <v>667</v>
      </c>
      <c r="H95" s="4" t="str">
        <f t="shared" si="5"/>
        <v>76.10</v>
      </c>
      <c r="I95" s="3">
        <v>46054</v>
      </c>
      <c r="J95" s="6">
        <v>360</v>
      </c>
      <c r="K95" s="4">
        <v>485.1</v>
      </c>
      <c r="L95" s="4" t="s">
        <v>668</v>
      </c>
      <c r="M95" s="4" t="s">
        <v>669</v>
      </c>
      <c r="N95" s="4" t="s">
        <v>670</v>
      </c>
      <c r="O95" s="4">
        <v>385</v>
      </c>
      <c r="P95" s="4">
        <v>10.14</v>
      </c>
      <c r="Q95" s="4">
        <v>25.2</v>
      </c>
      <c r="R95" s="4">
        <v>3.32</v>
      </c>
      <c r="S95" s="4">
        <v>3.55</v>
      </c>
      <c r="T95">
        <f t="shared" si="6"/>
        <v>12.11</v>
      </c>
      <c r="U95" s="18">
        <v>73.2</v>
      </c>
      <c r="V95" s="18">
        <f t="shared" si="7"/>
        <v>149.3</v>
      </c>
      <c r="W95" s="18">
        <f t="shared" si="8"/>
        <v>10.38</v>
      </c>
      <c r="X95" s="18">
        <f t="shared" si="9"/>
        <v>845.1</v>
      </c>
      <c r="Y95" s="18"/>
      <c r="Z95" s="18"/>
    </row>
    <row r="96" ht="29.25" spans="1:31">
      <c r="A96">
        <v>2008</v>
      </c>
      <c r="B96" s="3">
        <v>46082</v>
      </c>
      <c r="C96" s="4" t="s">
        <v>671</v>
      </c>
      <c r="D96" s="4" t="s">
        <v>672</v>
      </c>
      <c r="E96" s="4" t="s">
        <v>673</v>
      </c>
      <c r="F96" s="4" t="s">
        <v>674</v>
      </c>
      <c r="G96" s="4" t="s">
        <v>675</v>
      </c>
      <c r="H96" s="4" t="str">
        <f t="shared" si="5"/>
        <v>74.80</v>
      </c>
      <c r="I96" s="3">
        <v>46082</v>
      </c>
      <c r="J96" s="6">
        <v>352</v>
      </c>
      <c r="K96" s="4">
        <v>462.8</v>
      </c>
      <c r="L96" s="4" t="s">
        <v>676</v>
      </c>
      <c r="M96" s="4" t="s">
        <v>677</v>
      </c>
      <c r="N96" s="4" t="s">
        <v>678</v>
      </c>
      <c r="O96" s="4">
        <v>385.96</v>
      </c>
      <c r="P96" s="4">
        <v>10.25</v>
      </c>
      <c r="Q96" s="4">
        <v>28.6</v>
      </c>
      <c r="R96" s="4">
        <v>3.65</v>
      </c>
      <c r="S96" s="4">
        <v>3.42</v>
      </c>
      <c r="T96">
        <f t="shared" si="6"/>
        <v>10.55</v>
      </c>
      <c r="U96" s="18">
        <v>74.8</v>
      </c>
      <c r="V96" s="18">
        <f t="shared" si="7"/>
        <v>149.6</v>
      </c>
      <c r="W96" s="18">
        <f t="shared" si="8"/>
        <v>9.06</v>
      </c>
      <c r="X96" s="18">
        <f t="shared" si="9"/>
        <v>814.8</v>
      </c>
      <c r="Y96" s="18"/>
      <c r="Z96" s="18"/>
    </row>
    <row r="97" ht="29.25" spans="1:31">
      <c r="A97">
        <v>2008</v>
      </c>
      <c r="B97" s="3">
        <v>46113</v>
      </c>
      <c r="C97" s="4" t="s">
        <v>679</v>
      </c>
      <c r="D97" s="4" t="s">
        <v>680</v>
      </c>
      <c r="E97" s="4" t="s">
        <v>681</v>
      </c>
      <c r="F97" s="4" t="s">
        <v>682</v>
      </c>
      <c r="G97" s="4" t="s">
        <v>683</v>
      </c>
      <c r="H97" s="4" t="str">
        <f t="shared" si="5"/>
        <v>72.35</v>
      </c>
      <c r="I97" s="3">
        <v>46113</v>
      </c>
      <c r="J97" s="6">
        <v>345</v>
      </c>
      <c r="K97" s="4">
        <v>435.6</v>
      </c>
      <c r="L97" s="4" t="s">
        <v>684</v>
      </c>
      <c r="M97" s="4" t="s">
        <v>685</v>
      </c>
      <c r="N97" s="4" t="s">
        <v>686</v>
      </c>
      <c r="O97" s="4">
        <v>387.27</v>
      </c>
      <c r="P97" s="4">
        <v>10.42</v>
      </c>
      <c r="Q97" s="4">
        <v>30.2</v>
      </c>
      <c r="R97" s="4">
        <v>4.15</v>
      </c>
      <c r="S97" s="4">
        <v>2.15</v>
      </c>
      <c r="T97">
        <f t="shared" si="6"/>
        <v>8.90000000000001</v>
      </c>
      <c r="U97" s="18">
        <v>76.5</v>
      </c>
      <c r="V97" s="18">
        <f t="shared" si="7"/>
        <v>148.85</v>
      </c>
      <c r="W97" s="18">
        <f t="shared" si="8"/>
        <v>6.59999999999999</v>
      </c>
      <c r="X97" s="18">
        <f t="shared" si="9"/>
        <v>780.6</v>
      </c>
      <c r="Y97" s="18"/>
      <c r="Z97" s="18"/>
    </row>
    <row r="98" ht="29.25" spans="1:31">
      <c r="A98">
        <v>2008</v>
      </c>
      <c r="B98" s="3">
        <v>46143</v>
      </c>
      <c r="C98" s="4" t="s">
        <v>687</v>
      </c>
      <c r="D98" s="4" t="s">
        <v>688</v>
      </c>
      <c r="E98" s="4" t="s">
        <v>689</v>
      </c>
      <c r="F98" s="4" t="s">
        <v>690</v>
      </c>
      <c r="G98" s="4" t="s">
        <v>691</v>
      </c>
      <c r="H98" s="4" t="str">
        <f t="shared" si="5"/>
        <v>70.40</v>
      </c>
      <c r="I98" s="3">
        <v>46143</v>
      </c>
      <c r="J98" s="6">
        <v>332</v>
      </c>
      <c r="K98" s="4">
        <v>412.3</v>
      </c>
      <c r="L98" s="4" t="s">
        <v>692</v>
      </c>
      <c r="M98" s="4" t="s">
        <v>693</v>
      </c>
      <c r="N98" s="4" t="s">
        <v>694</v>
      </c>
      <c r="O98" s="6">
        <v>388.5</v>
      </c>
      <c r="P98" s="4">
        <v>10.61</v>
      </c>
      <c r="Q98" s="4">
        <v>32.5</v>
      </c>
      <c r="R98" s="4">
        <v>4.72</v>
      </c>
      <c r="S98" s="4">
        <v>1.62</v>
      </c>
      <c r="T98">
        <f t="shared" si="6"/>
        <v>7.25</v>
      </c>
      <c r="U98" s="18">
        <v>78.2</v>
      </c>
      <c r="V98" s="18">
        <f t="shared" si="7"/>
        <v>148.6</v>
      </c>
      <c r="W98" s="18">
        <f t="shared" si="8"/>
        <v>4.64</v>
      </c>
      <c r="X98" s="18">
        <f t="shared" si="9"/>
        <v>744.3</v>
      </c>
      <c r="Y98" s="18"/>
      <c r="Z98" s="18"/>
    </row>
    <row r="99" ht="30.75" spans="1:31">
      <c r="A99">
        <v>2008</v>
      </c>
      <c r="B99" s="3">
        <v>46174</v>
      </c>
      <c r="C99" s="4" t="s">
        <v>695</v>
      </c>
      <c r="D99" s="4" t="s">
        <v>696</v>
      </c>
      <c r="E99" s="4" t="s">
        <v>697</v>
      </c>
      <c r="F99" s="4" t="s">
        <v>698</v>
      </c>
      <c r="G99" s="4" t="s">
        <v>699</v>
      </c>
      <c r="H99" s="4" t="str">
        <f t="shared" si="5"/>
        <v>68.90</v>
      </c>
      <c r="I99" s="3">
        <v>46174</v>
      </c>
      <c r="J99" s="6">
        <v>322</v>
      </c>
      <c r="K99" s="4">
        <v>398.5</v>
      </c>
      <c r="L99" s="6" t="s">
        <v>700</v>
      </c>
      <c r="M99" s="4" t="s">
        <v>701</v>
      </c>
      <c r="N99" s="4" t="s">
        <v>702</v>
      </c>
      <c r="O99" s="4">
        <v>388.08</v>
      </c>
      <c r="P99" s="4">
        <v>10.78</v>
      </c>
      <c r="Q99" s="4">
        <v>29.8</v>
      </c>
      <c r="R99" s="4">
        <v>5.45</v>
      </c>
      <c r="S99" s="4">
        <v>1.15</v>
      </c>
      <c r="T99">
        <f t="shared" si="6"/>
        <v>4.98999999999999</v>
      </c>
      <c r="U99" s="18">
        <v>80.5</v>
      </c>
      <c r="V99" s="18">
        <f t="shared" si="7"/>
        <v>149.4</v>
      </c>
      <c r="W99" s="18">
        <f t="shared" si="8"/>
        <v>3.13000000000001</v>
      </c>
      <c r="X99" s="18">
        <f t="shared" si="9"/>
        <v>720.5</v>
      </c>
      <c r="Y99" s="18"/>
      <c r="Z99" s="18"/>
    </row>
    <row r="100" ht="30" spans="1:31">
      <c r="A100">
        <v>2008</v>
      </c>
      <c r="B100" s="3">
        <v>46204</v>
      </c>
      <c r="C100" s="4" t="s">
        <v>703</v>
      </c>
      <c r="D100" s="4" t="s">
        <v>704</v>
      </c>
      <c r="E100" s="4" t="s">
        <v>705</v>
      </c>
      <c r="F100" s="4" t="s">
        <v>706</v>
      </c>
      <c r="G100" s="6" t="s">
        <v>707</v>
      </c>
      <c r="H100" s="4" t="str">
        <f t="shared" si="5"/>
        <v>67.85</v>
      </c>
      <c r="I100" s="3">
        <v>46204</v>
      </c>
      <c r="J100" s="6">
        <v>315</v>
      </c>
      <c r="K100" s="6">
        <v>388.2</v>
      </c>
      <c r="L100" s="6" t="s">
        <v>708</v>
      </c>
      <c r="M100" s="4" t="s">
        <v>709</v>
      </c>
      <c r="N100" s="4" t="s">
        <v>710</v>
      </c>
      <c r="O100" s="4">
        <v>386.42</v>
      </c>
      <c r="P100" s="6">
        <v>10.94</v>
      </c>
      <c r="Q100" s="4">
        <v>28.4</v>
      </c>
      <c r="R100" s="6">
        <v>5.85</v>
      </c>
      <c r="S100" s="6">
        <v>0.95</v>
      </c>
      <c r="T100">
        <f t="shared" si="6"/>
        <v>2.74000000000001</v>
      </c>
      <c r="U100" s="18">
        <v>82.8</v>
      </c>
      <c r="V100" s="18">
        <f t="shared" si="7"/>
        <v>150.65</v>
      </c>
      <c r="W100" s="18">
        <f t="shared" si="8"/>
        <v>2.06999999999999</v>
      </c>
      <c r="X100" s="18">
        <f t="shared" si="9"/>
        <v>703.2</v>
      </c>
      <c r="Y100" s="18"/>
      <c r="Z100" s="18"/>
    </row>
    <row r="101" ht="29.25" spans="1:31">
      <c r="A101">
        <v>2008</v>
      </c>
      <c r="B101" s="3">
        <v>46235</v>
      </c>
      <c r="C101" s="4" t="s">
        <v>711</v>
      </c>
      <c r="D101" s="4" t="s">
        <v>712</v>
      </c>
      <c r="E101" s="4" t="s">
        <v>713</v>
      </c>
      <c r="F101" s="4" t="s">
        <v>714</v>
      </c>
      <c r="G101" s="4" t="s">
        <v>715</v>
      </c>
      <c r="H101" s="4" t="str">
        <f t="shared" si="5"/>
        <v>69.12</v>
      </c>
      <c r="I101" s="3">
        <v>46235</v>
      </c>
      <c r="J101" s="6">
        <v>318</v>
      </c>
      <c r="K101" s="4">
        <v>392.4</v>
      </c>
      <c r="L101" s="4" t="s">
        <v>716</v>
      </c>
      <c r="M101" s="6" t="s">
        <v>717</v>
      </c>
      <c r="N101" s="4" t="s">
        <v>718</v>
      </c>
      <c r="O101" s="4">
        <v>384.15</v>
      </c>
      <c r="P101" s="6">
        <v>11.01</v>
      </c>
      <c r="Q101" s="4">
        <v>31.2</v>
      </c>
      <c r="R101" s="4">
        <v>5.12</v>
      </c>
      <c r="S101" s="4">
        <v>1.08</v>
      </c>
      <c r="T101">
        <f t="shared" si="6"/>
        <v>3.58</v>
      </c>
      <c r="U101" s="18">
        <v>82</v>
      </c>
      <c r="V101" s="18">
        <f t="shared" si="7"/>
        <v>151.12</v>
      </c>
      <c r="W101" s="18">
        <f t="shared" si="8"/>
        <v>3.32000000000001</v>
      </c>
      <c r="X101" s="18">
        <f t="shared" si="9"/>
        <v>710.4</v>
      </c>
      <c r="Y101" s="18"/>
      <c r="Z101" s="18"/>
    </row>
    <row r="102" ht="29.25" spans="1:31">
      <c r="A102">
        <v>2008</v>
      </c>
      <c r="B102" s="3">
        <v>46266</v>
      </c>
      <c r="C102" s="4" t="s">
        <v>719</v>
      </c>
      <c r="D102" s="4" t="s">
        <v>720</v>
      </c>
      <c r="E102" s="4" t="s">
        <v>721</v>
      </c>
      <c r="F102" s="4" t="s">
        <v>722</v>
      </c>
      <c r="G102" s="4" t="s">
        <v>723</v>
      </c>
      <c r="H102" s="4" t="str">
        <f t="shared" si="5"/>
        <v>71.45</v>
      </c>
      <c r="I102" s="3">
        <v>46266</v>
      </c>
      <c r="J102" s="6">
        <v>325</v>
      </c>
      <c r="K102" s="4">
        <v>405.6</v>
      </c>
      <c r="L102" s="4" t="s">
        <v>724</v>
      </c>
      <c r="M102" s="4" t="s">
        <v>725</v>
      </c>
      <c r="N102" s="4" t="s">
        <v>726</v>
      </c>
      <c r="O102" s="4">
        <v>382.35</v>
      </c>
      <c r="P102" s="4">
        <v>10.71</v>
      </c>
      <c r="Q102" s="4">
        <v>34.6</v>
      </c>
      <c r="R102" s="4">
        <v>4.24</v>
      </c>
      <c r="S102" s="4">
        <v>1.95</v>
      </c>
      <c r="T102">
        <f t="shared" si="6"/>
        <v>7.13</v>
      </c>
      <c r="U102" s="18">
        <v>78.5</v>
      </c>
      <c r="V102" s="18">
        <f t="shared" si="7"/>
        <v>149.95</v>
      </c>
      <c r="W102" s="18">
        <f t="shared" si="8"/>
        <v>5.64</v>
      </c>
      <c r="X102" s="18">
        <f t="shared" si="9"/>
        <v>730.6</v>
      </c>
      <c r="Y102" s="18"/>
      <c r="Z102" s="18"/>
    </row>
    <row r="103" ht="29.25" spans="1:31">
      <c r="A103">
        <v>2008</v>
      </c>
      <c r="B103" s="3">
        <v>46296</v>
      </c>
      <c r="C103" s="4" t="s">
        <v>727</v>
      </c>
      <c r="D103" s="4" t="s">
        <v>728</v>
      </c>
      <c r="E103" s="4" t="s">
        <v>729</v>
      </c>
      <c r="F103" s="4" t="s">
        <v>730</v>
      </c>
      <c r="G103" s="4" t="s">
        <v>731</v>
      </c>
      <c r="H103" s="4" t="str">
        <f t="shared" si="5"/>
        <v>73.60</v>
      </c>
      <c r="I103" s="3">
        <v>46296</v>
      </c>
      <c r="J103" s="6">
        <v>335</v>
      </c>
      <c r="K103" s="4">
        <v>422.8</v>
      </c>
      <c r="L103" s="4" t="s">
        <v>732</v>
      </c>
      <c r="M103" s="6" t="s">
        <v>733</v>
      </c>
      <c r="N103" s="4" t="s">
        <v>734</v>
      </c>
      <c r="O103" s="4">
        <v>382.81</v>
      </c>
      <c r="P103" s="4">
        <v>10.38</v>
      </c>
      <c r="Q103" s="6">
        <v>41.2</v>
      </c>
      <c r="R103" s="4">
        <v>3.75</v>
      </c>
      <c r="S103" s="4">
        <v>2.85</v>
      </c>
      <c r="T103">
        <f t="shared" si="6"/>
        <v>8.67</v>
      </c>
      <c r="U103" s="18">
        <v>77</v>
      </c>
      <c r="V103" s="18">
        <f t="shared" si="7"/>
        <v>150.6</v>
      </c>
      <c r="W103" s="18">
        <f t="shared" si="8"/>
        <v>7.78</v>
      </c>
      <c r="X103" s="18">
        <f t="shared" si="9"/>
        <v>757.8</v>
      </c>
      <c r="Y103" s="18"/>
      <c r="Z103" s="18"/>
    </row>
    <row r="104" ht="29.25" spans="1:31">
      <c r="A104">
        <v>2008</v>
      </c>
      <c r="B104" s="3">
        <v>46327</v>
      </c>
      <c r="C104" s="4" t="s">
        <v>735</v>
      </c>
      <c r="D104" s="4" t="s">
        <v>736</v>
      </c>
      <c r="E104" s="4" t="s">
        <v>737</v>
      </c>
      <c r="F104" s="4" t="s">
        <v>738</v>
      </c>
      <c r="G104" s="4" t="s">
        <v>739</v>
      </c>
      <c r="H104" s="4" t="str">
        <f t="shared" si="5"/>
        <v>75.95</v>
      </c>
      <c r="I104" s="3">
        <v>46327</v>
      </c>
      <c r="J104" s="6">
        <v>342</v>
      </c>
      <c r="K104" s="4">
        <v>445.1</v>
      </c>
      <c r="L104" s="4" t="s">
        <v>740</v>
      </c>
      <c r="M104" s="4" t="s">
        <v>741</v>
      </c>
      <c r="N104" s="4" t="s">
        <v>34</v>
      </c>
      <c r="O104" s="4">
        <v>384.1</v>
      </c>
      <c r="P104" s="4">
        <v>10.21</v>
      </c>
      <c r="Q104" s="6">
        <v>43.5</v>
      </c>
      <c r="R104" s="4">
        <v>3.25</v>
      </c>
      <c r="S104" s="4">
        <v>3.38</v>
      </c>
      <c r="T104">
        <f t="shared" si="6"/>
        <v>10.52</v>
      </c>
      <c r="U104" s="18">
        <v>75.2</v>
      </c>
      <c r="V104" s="18">
        <f t="shared" si="7"/>
        <v>151.15</v>
      </c>
      <c r="W104" s="18">
        <f t="shared" si="8"/>
        <v>10.12</v>
      </c>
      <c r="X104" s="18">
        <f t="shared" si="9"/>
        <v>787.1</v>
      </c>
      <c r="Y104" s="18"/>
      <c r="Z104" s="18"/>
    </row>
    <row r="105" ht="30" spans="1:31">
      <c r="A105">
        <v>2008</v>
      </c>
      <c r="B105" s="3">
        <v>46357</v>
      </c>
      <c r="C105" s="4" t="s">
        <v>742</v>
      </c>
      <c r="D105" s="4" t="s">
        <v>743</v>
      </c>
      <c r="E105" s="4" t="s">
        <v>744</v>
      </c>
      <c r="F105" s="4" t="s">
        <v>745</v>
      </c>
      <c r="G105" s="6" t="s">
        <v>746</v>
      </c>
      <c r="H105" s="4" t="str">
        <f t="shared" si="5"/>
        <v>77.80</v>
      </c>
      <c r="I105" s="3">
        <v>46357</v>
      </c>
      <c r="J105" s="6">
        <v>350</v>
      </c>
      <c r="K105" s="6">
        <v>468.3</v>
      </c>
      <c r="L105" s="4" t="s">
        <v>747</v>
      </c>
      <c r="M105" s="6" t="s">
        <v>748</v>
      </c>
      <c r="N105" s="6" t="s">
        <v>42</v>
      </c>
      <c r="O105" s="4">
        <v>385.56</v>
      </c>
      <c r="P105" s="4">
        <v>10.12</v>
      </c>
      <c r="Q105" s="4">
        <v>39.8</v>
      </c>
      <c r="R105" s="4">
        <v>3.05</v>
      </c>
      <c r="S105" s="4">
        <v>3.65</v>
      </c>
      <c r="T105">
        <f t="shared" si="6"/>
        <v>12.26</v>
      </c>
      <c r="U105" s="18">
        <v>73.5</v>
      </c>
      <c r="V105" s="18">
        <f t="shared" si="7"/>
        <v>151.3</v>
      </c>
      <c r="W105" s="18">
        <f t="shared" si="8"/>
        <v>11.95</v>
      </c>
      <c r="X105" s="18">
        <f t="shared" si="9"/>
        <v>818.3</v>
      </c>
      <c r="Y105" s="18">
        <f>AVERAGE(X94:X105)</f>
        <v>771.925</v>
      </c>
      <c r="Z105" s="18">
        <f>AVERAGE(W94:W96)</f>
        <v>10.1933333333333</v>
      </c>
      <c r="AA105">
        <f>(SUM(U94:U105)-SUM(U100:U102))/9</f>
        <v>75.7111111111111</v>
      </c>
      <c r="AB105">
        <f>AVERAGE(T94:T105)</f>
        <v>8.455</v>
      </c>
      <c r="AC105">
        <f>SUM(T94:T105)/12</f>
        <v>8.455</v>
      </c>
      <c r="AD105">
        <f>AVERAGE(T94:T96)</f>
        <v>11.8066666666667</v>
      </c>
      <c r="AE105">
        <f>AVERAGE(V94:V105)</f>
        <v>149.989166666667</v>
      </c>
    </row>
    <row r="106" ht="60.75" spans="1:31">
      <c r="B106" s="6" t="s">
        <v>749</v>
      </c>
      <c r="C106" s="6" t="s">
        <v>396</v>
      </c>
      <c r="D106" s="6" t="s">
        <v>8</v>
      </c>
      <c r="E106" s="6" t="s">
        <v>124</v>
      </c>
      <c r="F106" s="6" t="s">
        <v>10</v>
      </c>
      <c r="G106" s="6" t="s">
        <v>125</v>
      </c>
      <c r="H106" s="4" t="str">
        <f t="shared" si="5"/>
        <v>650 氢</v>
      </c>
      <c r="I106" s="6" t="s">
        <v>749</v>
      </c>
      <c r="J106" s="6" t="s">
        <v>126</v>
      </c>
      <c r="K106" s="6" t="s">
        <v>126</v>
      </c>
      <c r="L106" s="6" t="s">
        <v>127</v>
      </c>
      <c r="M106" s="6" t="s">
        <v>15</v>
      </c>
      <c r="N106" s="6" t="s">
        <v>16</v>
      </c>
      <c r="O106" s="6" t="s">
        <v>17</v>
      </c>
      <c r="P106" s="6" t="s">
        <v>18</v>
      </c>
      <c r="Q106" s="6" t="s">
        <v>19</v>
      </c>
      <c r="R106" s="6" t="s">
        <v>128</v>
      </c>
      <c r="S106" s="6" t="s">
        <v>21</v>
      </c>
      <c r="T106" t="e">
        <f t="shared" si="6"/>
        <v>#VALUE!</v>
      </c>
      <c r="U106" s="19" t="s">
        <v>129</v>
      </c>
      <c r="V106" s="18" t="e">
        <f t="shared" si="7"/>
        <v>#VALUE!</v>
      </c>
      <c r="W106" s="18" t="e">
        <f t="shared" si="8"/>
        <v>#VALUE!</v>
      </c>
      <c r="X106" s="18">
        <f t="shared" si="9"/>
        <v>0</v>
      </c>
      <c r="Y106" s="18"/>
      <c r="Z106" s="18"/>
    </row>
    <row r="107" ht="30.75" spans="1:31">
      <c r="A107">
        <v>2009</v>
      </c>
      <c r="B107" s="3">
        <v>46023</v>
      </c>
      <c r="C107" s="4" t="s">
        <v>750</v>
      </c>
      <c r="D107" s="4" t="s">
        <v>751</v>
      </c>
      <c r="E107" s="4" t="s">
        <v>752</v>
      </c>
      <c r="F107" s="4" t="s">
        <v>753</v>
      </c>
      <c r="G107" s="6" t="s">
        <v>754</v>
      </c>
      <c r="H107" s="4" t="str">
        <f t="shared" si="5"/>
        <v>77.15</v>
      </c>
      <c r="I107" s="3">
        <v>46023</v>
      </c>
      <c r="J107" s="6">
        <v>368</v>
      </c>
      <c r="K107" s="6">
        <v>472.4</v>
      </c>
      <c r="L107" s="6" t="s">
        <v>755</v>
      </c>
      <c r="M107" s="6" t="s">
        <v>756</v>
      </c>
      <c r="N107" s="6" t="s">
        <v>106</v>
      </c>
      <c r="O107" s="4">
        <v>385.91</v>
      </c>
      <c r="P107" s="4">
        <v>10.15</v>
      </c>
      <c r="Q107" s="4">
        <v>22.4</v>
      </c>
      <c r="R107" s="4">
        <v>3.08</v>
      </c>
      <c r="S107" s="4">
        <v>3.65</v>
      </c>
      <c r="T107">
        <f t="shared" si="6"/>
        <v>13.61</v>
      </c>
      <c r="U107" s="18">
        <v>72.2</v>
      </c>
      <c r="V107" s="18">
        <f t="shared" si="7"/>
        <v>149.35</v>
      </c>
      <c r="W107" s="18">
        <f t="shared" si="8"/>
        <v>11.29</v>
      </c>
      <c r="X107" s="18">
        <f t="shared" si="9"/>
        <v>840.4</v>
      </c>
      <c r="Y107" s="18"/>
      <c r="Z107" s="18"/>
    </row>
    <row r="108" ht="29.25" spans="1:31">
      <c r="A108">
        <v>2009</v>
      </c>
      <c r="B108" s="3">
        <v>46054</v>
      </c>
      <c r="C108" s="4" t="s">
        <v>757</v>
      </c>
      <c r="D108" s="4" t="s">
        <v>758</v>
      </c>
      <c r="E108" s="4" t="s">
        <v>759</v>
      </c>
      <c r="F108" s="4" t="s">
        <v>760</v>
      </c>
      <c r="G108" s="4" t="s">
        <v>761</v>
      </c>
      <c r="H108" s="4" t="str">
        <f t="shared" si="5"/>
        <v>76.80</v>
      </c>
      <c r="I108" s="3">
        <v>46054</v>
      </c>
      <c r="J108" s="6">
        <v>370</v>
      </c>
      <c r="K108" s="4">
        <v>465.8</v>
      </c>
      <c r="L108" s="4" t="s">
        <v>762</v>
      </c>
      <c r="M108" s="4" t="s">
        <v>763</v>
      </c>
      <c r="N108" s="4" t="s">
        <v>82</v>
      </c>
      <c r="O108" s="4">
        <v>386.75</v>
      </c>
      <c r="P108" s="4">
        <v>10.22</v>
      </c>
      <c r="Q108" s="4">
        <v>22.8</v>
      </c>
      <c r="R108" s="4">
        <v>3.25</v>
      </c>
      <c r="S108" s="4">
        <v>3.42</v>
      </c>
      <c r="T108">
        <f t="shared" si="6"/>
        <v>12.86</v>
      </c>
      <c r="U108" s="18">
        <v>73</v>
      </c>
      <c r="V108" s="18">
        <f t="shared" si="7"/>
        <v>149.8</v>
      </c>
      <c r="W108" s="18">
        <f t="shared" si="8"/>
        <v>10.93</v>
      </c>
      <c r="X108" s="18">
        <f t="shared" si="9"/>
        <v>835.8</v>
      </c>
      <c r="Y108" s="18"/>
      <c r="Z108" s="18"/>
    </row>
    <row r="109" ht="29.25" spans="1:31">
      <c r="A109">
        <v>2009</v>
      </c>
      <c r="B109" s="3">
        <v>46082</v>
      </c>
      <c r="C109" s="4" t="s">
        <v>764</v>
      </c>
      <c r="D109" s="4" t="s">
        <v>765</v>
      </c>
      <c r="E109" s="4" t="s">
        <v>766</v>
      </c>
      <c r="F109" s="4" t="s">
        <v>767</v>
      </c>
      <c r="G109" s="4" t="s">
        <v>768</v>
      </c>
      <c r="H109" s="4" t="str">
        <f t="shared" si="5"/>
        <v>75.95</v>
      </c>
      <c r="I109" s="3">
        <v>46082</v>
      </c>
      <c r="J109" s="6">
        <v>365</v>
      </c>
      <c r="K109" s="4">
        <v>448.2</v>
      </c>
      <c r="L109" s="4" t="s">
        <v>769</v>
      </c>
      <c r="M109" s="4" t="s">
        <v>770</v>
      </c>
      <c r="N109" s="4" t="s">
        <v>74</v>
      </c>
      <c r="O109" s="4">
        <v>387.61</v>
      </c>
      <c r="P109" s="4">
        <v>10.33</v>
      </c>
      <c r="Q109" s="4">
        <v>25.1</v>
      </c>
      <c r="R109" s="4">
        <v>3.58</v>
      </c>
      <c r="S109" s="4">
        <v>3.35</v>
      </c>
      <c r="T109">
        <f t="shared" si="6"/>
        <v>11.4</v>
      </c>
      <c r="U109" s="18">
        <v>74.5</v>
      </c>
      <c r="V109" s="18">
        <f t="shared" si="7"/>
        <v>150.45</v>
      </c>
      <c r="W109" s="18">
        <f t="shared" si="8"/>
        <v>10.06</v>
      </c>
      <c r="X109" s="18">
        <f t="shared" si="9"/>
        <v>813.2</v>
      </c>
      <c r="Y109" s="18"/>
      <c r="Z109" s="18"/>
    </row>
    <row r="110" ht="29.25" spans="1:31">
      <c r="A110">
        <v>2009</v>
      </c>
      <c r="B110" s="3">
        <v>46113</v>
      </c>
      <c r="C110" s="4" t="s">
        <v>771</v>
      </c>
      <c r="D110" s="4" t="s">
        <v>772</v>
      </c>
      <c r="E110" s="4" t="s">
        <v>773</v>
      </c>
      <c r="F110" s="4" t="s">
        <v>774</v>
      </c>
      <c r="G110" s="4" t="s">
        <v>775</v>
      </c>
      <c r="H110" s="4" t="str">
        <f t="shared" si="5"/>
        <v>74.12</v>
      </c>
      <c r="I110" s="3">
        <v>46113</v>
      </c>
      <c r="J110" s="6">
        <v>358</v>
      </c>
      <c r="K110" s="4">
        <v>422.5</v>
      </c>
      <c r="L110" s="4" t="s">
        <v>776</v>
      </c>
      <c r="M110" s="4" t="s">
        <v>777</v>
      </c>
      <c r="N110" s="4" t="s">
        <v>66</v>
      </c>
      <c r="O110" s="4">
        <v>389.26</v>
      </c>
      <c r="P110" s="4">
        <v>10.51</v>
      </c>
      <c r="Q110" s="4">
        <v>26.8</v>
      </c>
      <c r="R110" s="4">
        <v>4.02</v>
      </c>
      <c r="S110" s="4">
        <v>2.05</v>
      </c>
      <c r="T110">
        <f t="shared" si="6"/>
        <v>9.75</v>
      </c>
      <c r="U110" s="18">
        <v>76.2</v>
      </c>
      <c r="V110" s="18">
        <f t="shared" si="7"/>
        <v>150.32</v>
      </c>
      <c r="W110" s="18">
        <f t="shared" si="8"/>
        <v>8.22</v>
      </c>
      <c r="X110" s="18">
        <f t="shared" si="9"/>
        <v>780.5</v>
      </c>
      <c r="Y110" s="18"/>
      <c r="Z110" s="18"/>
    </row>
    <row r="111" ht="30.75" spans="1:31">
      <c r="A111">
        <v>2009</v>
      </c>
      <c r="B111" s="3">
        <v>46143</v>
      </c>
      <c r="C111" s="4" t="s">
        <v>778</v>
      </c>
      <c r="D111" s="4" t="s">
        <v>779</v>
      </c>
      <c r="E111" s="6" t="s">
        <v>780</v>
      </c>
      <c r="F111" s="4" t="s">
        <v>781</v>
      </c>
      <c r="G111" s="4" t="s">
        <v>782</v>
      </c>
      <c r="H111" s="4" t="str">
        <f t="shared" si="5"/>
        <v>72.45</v>
      </c>
      <c r="I111" s="3">
        <v>46143</v>
      </c>
      <c r="J111" s="6">
        <v>345</v>
      </c>
      <c r="K111" s="4">
        <v>405.6</v>
      </c>
      <c r="L111" s="4" t="s">
        <v>783</v>
      </c>
      <c r="M111" s="4" t="s">
        <v>784</v>
      </c>
      <c r="N111" s="4" t="s">
        <v>90</v>
      </c>
      <c r="O111" s="6">
        <v>390.19</v>
      </c>
      <c r="P111" s="4">
        <v>10.72</v>
      </c>
      <c r="Q111" s="4">
        <v>29.5</v>
      </c>
      <c r="R111" s="4">
        <v>4.58</v>
      </c>
      <c r="S111" s="4">
        <v>1.58</v>
      </c>
      <c r="T111">
        <f t="shared" si="6"/>
        <v>8</v>
      </c>
      <c r="U111" s="18">
        <v>78</v>
      </c>
      <c r="V111" s="18">
        <f t="shared" si="7"/>
        <v>150.45</v>
      </c>
      <c r="W111" s="18">
        <f t="shared" si="8"/>
        <v>6.54000000000001</v>
      </c>
      <c r="X111" s="18">
        <f t="shared" si="9"/>
        <v>750.6</v>
      </c>
      <c r="Y111" s="18"/>
      <c r="Z111" s="18"/>
    </row>
    <row r="112" ht="44.25" spans="1:31">
      <c r="A112">
        <v>2009</v>
      </c>
      <c r="B112" s="3">
        <v>46174</v>
      </c>
      <c r="C112" s="4" t="s">
        <v>785</v>
      </c>
      <c r="D112" s="4" t="s">
        <v>786</v>
      </c>
      <c r="E112" s="4" t="s">
        <v>787</v>
      </c>
      <c r="F112" s="4" t="s">
        <v>788</v>
      </c>
      <c r="G112" s="4" t="s">
        <v>789</v>
      </c>
      <c r="H112" s="4" t="str">
        <f t="shared" si="5"/>
        <v>70.80</v>
      </c>
      <c r="I112" s="3">
        <v>46174</v>
      </c>
      <c r="J112" s="6">
        <v>338</v>
      </c>
      <c r="K112" s="4">
        <v>392.1</v>
      </c>
      <c r="L112" s="6" t="s">
        <v>790</v>
      </c>
      <c r="M112" s="4" t="s">
        <v>791</v>
      </c>
      <c r="N112" s="4" t="s">
        <v>114</v>
      </c>
      <c r="O112" s="4">
        <v>389.55</v>
      </c>
      <c r="P112" s="4">
        <v>10.89</v>
      </c>
      <c r="Q112" s="4">
        <v>26.2</v>
      </c>
      <c r="R112" s="4">
        <v>5.32</v>
      </c>
      <c r="S112" s="4">
        <v>1.1</v>
      </c>
      <c r="T112">
        <f t="shared" si="6"/>
        <v>5.84</v>
      </c>
      <c r="U112" s="18">
        <v>80.2</v>
      </c>
      <c r="V112" s="18">
        <f t="shared" si="7"/>
        <v>151</v>
      </c>
      <c r="W112" s="18">
        <f t="shared" si="8"/>
        <v>4.88</v>
      </c>
      <c r="X112" s="18">
        <f t="shared" si="9"/>
        <v>730.1</v>
      </c>
      <c r="Y112" s="18"/>
      <c r="Z112" s="18"/>
    </row>
    <row r="113" ht="30" spans="1:31">
      <c r="A113">
        <v>2009</v>
      </c>
      <c r="B113" s="3">
        <v>46204</v>
      </c>
      <c r="C113" s="4" t="s">
        <v>792</v>
      </c>
      <c r="D113" s="4" t="s">
        <v>793</v>
      </c>
      <c r="E113" s="4" t="s">
        <v>794</v>
      </c>
      <c r="F113" s="4" t="s">
        <v>795</v>
      </c>
      <c r="G113" s="6" t="s">
        <v>796</v>
      </c>
      <c r="H113" s="4" t="str">
        <f t="shared" si="5"/>
        <v>69.75</v>
      </c>
      <c r="I113" s="3">
        <v>46204</v>
      </c>
      <c r="J113" s="6">
        <v>330</v>
      </c>
      <c r="K113" s="6">
        <v>386.4</v>
      </c>
      <c r="L113" s="6" t="s">
        <v>797</v>
      </c>
      <c r="M113" s="6" t="s">
        <v>798</v>
      </c>
      <c r="N113" s="4" t="s">
        <v>122</v>
      </c>
      <c r="O113" s="4">
        <v>387.6</v>
      </c>
      <c r="P113" s="6">
        <v>11.05</v>
      </c>
      <c r="Q113" s="4">
        <v>25.4</v>
      </c>
      <c r="R113" s="6">
        <v>5.75</v>
      </c>
      <c r="S113" s="6">
        <v>0.9</v>
      </c>
      <c r="T113">
        <f t="shared" si="6"/>
        <v>3.59</v>
      </c>
      <c r="U113" s="18">
        <v>82.5</v>
      </c>
      <c r="V113" s="18">
        <f t="shared" si="7"/>
        <v>152.25</v>
      </c>
      <c r="W113" s="18">
        <f t="shared" si="8"/>
        <v>3.81999999999999</v>
      </c>
      <c r="X113" s="18">
        <f t="shared" si="9"/>
        <v>716.4</v>
      </c>
      <c r="Y113" s="18"/>
      <c r="Z113" s="18"/>
    </row>
    <row r="114" ht="29.25" spans="1:31">
      <c r="A114">
        <v>2009</v>
      </c>
      <c r="B114" s="3">
        <v>46235</v>
      </c>
      <c r="C114" s="4" t="s">
        <v>799</v>
      </c>
      <c r="D114" s="4" t="s">
        <v>800</v>
      </c>
      <c r="E114" s="4" t="s">
        <v>801</v>
      </c>
      <c r="F114" s="4" t="s">
        <v>802</v>
      </c>
      <c r="G114" s="4" t="s">
        <v>803</v>
      </c>
      <c r="H114" s="4" t="str">
        <f t="shared" si="5"/>
        <v>70.90</v>
      </c>
      <c r="I114" s="3">
        <v>46235</v>
      </c>
      <c r="J114" s="6">
        <v>334</v>
      </c>
      <c r="K114" s="4">
        <v>390.2</v>
      </c>
      <c r="L114" s="4" t="s">
        <v>804</v>
      </c>
      <c r="M114" s="4" t="s">
        <v>805</v>
      </c>
      <c r="N114" s="4" t="s">
        <v>137</v>
      </c>
      <c r="O114" s="4">
        <v>385.64</v>
      </c>
      <c r="P114" s="6">
        <v>11.12</v>
      </c>
      <c r="Q114" s="4">
        <v>27.8</v>
      </c>
      <c r="R114" s="4">
        <v>5.05</v>
      </c>
      <c r="S114" s="4">
        <v>0.98</v>
      </c>
      <c r="T114">
        <f t="shared" si="6"/>
        <v>4.33</v>
      </c>
      <c r="U114" s="18">
        <v>81.8</v>
      </c>
      <c r="V114" s="18">
        <f t="shared" si="7"/>
        <v>152.7</v>
      </c>
      <c r="W114" s="18">
        <f t="shared" si="8"/>
        <v>4.95</v>
      </c>
      <c r="X114" s="18">
        <f t="shared" si="9"/>
        <v>724.2</v>
      </c>
      <c r="Y114" s="18"/>
      <c r="Z114" s="18"/>
    </row>
    <row r="115" ht="29.25" spans="1:31">
      <c r="A115">
        <v>2009</v>
      </c>
      <c r="B115" s="3">
        <v>46266</v>
      </c>
      <c r="C115" s="4" t="s">
        <v>806</v>
      </c>
      <c r="D115" s="4" t="s">
        <v>807</v>
      </c>
      <c r="E115" s="4" t="s">
        <v>808</v>
      </c>
      <c r="F115" s="4" t="s">
        <v>809</v>
      </c>
      <c r="G115" s="4" t="s">
        <v>810</v>
      </c>
      <c r="H115" s="4" t="str">
        <f t="shared" si="5"/>
        <v>72.55</v>
      </c>
      <c r="I115" s="3">
        <v>46266</v>
      </c>
      <c r="J115" s="6">
        <v>342</v>
      </c>
      <c r="K115" s="4">
        <v>408.7</v>
      </c>
      <c r="L115" s="4" t="s">
        <v>811</v>
      </c>
      <c r="M115" s="4" t="s">
        <v>812</v>
      </c>
      <c r="N115" s="4" t="s">
        <v>176</v>
      </c>
      <c r="O115" s="4">
        <v>383.92</v>
      </c>
      <c r="P115" s="4">
        <v>10.84</v>
      </c>
      <c r="Q115" s="4">
        <v>31.2</v>
      </c>
      <c r="R115" s="4">
        <v>4.15</v>
      </c>
      <c r="S115" s="4">
        <v>1.85</v>
      </c>
      <c r="T115">
        <f t="shared" si="6"/>
        <v>7.98</v>
      </c>
      <c r="U115" s="18">
        <v>78.2</v>
      </c>
      <c r="V115" s="18">
        <f t="shared" si="7"/>
        <v>150.75</v>
      </c>
      <c r="W115" s="18">
        <f t="shared" si="8"/>
        <v>6.59</v>
      </c>
      <c r="X115" s="18">
        <f t="shared" si="9"/>
        <v>750.7</v>
      </c>
      <c r="Y115" s="18"/>
      <c r="Z115" s="18"/>
    </row>
    <row r="116" ht="29.25" spans="1:31">
      <c r="A116">
        <v>2009</v>
      </c>
      <c r="B116" s="3">
        <v>46296</v>
      </c>
      <c r="C116" s="4" t="s">
        <v>813</v>
      </c>
      <c r="D116" s="4" t="s">
        <v>814</v>
      </c>
      <c r="E116" s="4" t="s">
        <v>815</v>
      </c>
      <c r="F116" s="4" t="s">
        <v>816</v>
      </c>
      <c r="G116" s="4" t="s">
        <v>817</v>
      </c>
      <c r="H116" s="4" t="str">
        <f t="shared" si="5"/>
        <v>74.30</v>
      </c>
      <c r="I116" s="3">
        <v>46296</v>
      </c>
      <c r="J116" s="6">
        <v>350</v>
      </c>
      <c r="K116" s="4">
        <v>425.4</v>
      </c>
      <c r="L116" s="4" t="s">
        <v>818</v>
      </c>
      <c r="M116" s="4" t="s">
        <v>819</v>
      </c>
      <c r="N116" s="4" t="s">
        <v>197</v>
      </c>
      <c r="O116" s="4">
        <v>384.34</v>
      </c>
      <c r="P116" s="4">
        <v>10.52</v>
      </c>
      <c r="Q116" s="6">
        <v>38.4</v>
      </c>
      <c r="R116" s="4">
        <v>3.68</v>
      </c>
      <c r="S116" s="4">
        <v>2.72</v>
      </c>
      <c r="T116">
        <f t="shared" si="6"/>
        <v>9.43000000000001</v>
      </c>
      <c r="U116" s="18">
        <v>76.8</v>
      </c>
      <c r="V116" s="18">
        <f t="shared" si="7"/>
        <v>151.1</v>
      </c>
      <c r="W116" s="18">
        <f t="shared" si="8"/>
        <v>8.33</v>
      </c>
      <c r="X116" s="18">
        <f t="shared" si="9"/>
        <v>775.4</v>
      </c>
      <c r="Y116" s="18"/>
      <c r="Z116" s="18"/>
    </row>
    <row r="117" ht="29.25" spans="1:31">
      <c r="A117">
        <v>2009</v>
      </c>
      <c r="B117" s="3">
        <v>46327</v>
      </c>
      <c r="C117" s="4" t="s">
        <v>820</v>
      </c>
      <c r="D117" s="4" t="s">
        <v>821</v>
      </c>
      <c r="E117" s="4" t="s">
        <v>822</v>
      </c>
      <c r="F117" s="4" t="s">
        <v>823</v>
      </c>
      <c r="G117" s="4" t="s">
        <v>824</v>
      </c>
      <c r="H117" s="4" t="str">
        <f t="shared" si="5"/>
        <v>76.45</v>
      </c>
      <c r="I117" s="3">
        <v>46327</v>
      </c>
      <c r="J117" s="6">
        <v>358</v>
      </c>
      <c r="K117" s="4">
        <v>448.2</v>
      </c>
      <c r="L117" s="4" t="s">
        <v>825</v>
      </c>
      <c r="M117" s="6" t="s">
        <v>826</v>
      </c>
      <c r="N117" s="4" t="s">
        <v>74</v>
      </c>
      <c r="O117" s="4">
        <v>385.65</v>
      </c>
      <c r="P117" s="4">
        <v>10.35</v>
      </c>
      <c r="Q117" s="6">
        <v>40.5</v>
      </c>
      <c r="R117" s="4">
        <v>3.18</v>
      </c>
      <c r="S117" s="4">
        <v>3.25</v>
      </c>
      <c r="T117">
        <f t="shared" si="6"/>
        <v>11.27</v>
      </c>
      <c r="U117" s="18">
        <v>75</v>
      </c>
      <c r="V117" s="18">
        <f t="shared" si="7"/>
        <v>151.45</v>
      </c>
      <c r="W117" s="18">
        <f t="shared" si="8"/>
        <v>10.47</v>
      </c>
      <c r="X117" s="18">
        <f t="shared" si="9"/>
        <v>806.2</v>
      </c>
      <c r="Y117" s="18"/>
      <c r="Z117" s="18"/>
    </row>
    <row r="118" ht="42.75" spans="1:31">
      <c r="A118">
        <v>2009</v>
      </c>
      <c r="B118" s="3">
        <v>46357</v>
      </c>
      <c r="C118" s="4" t="s">
        <v>827</v>
      </c>
      <c r="D118" s="4" t="s">
        <v>828</v>
      </c>
      <c r="E118" s="4" t="s">
        <v>829</v>
      </c>
      <c r="F118" s="4" t="s">
        <v>830</v>
      </c>
      <c r="G118" s="6" t="s">
        <v>831</v>
      </c>
      <c r="H118" s="4" t="str">
        <f t="shared" si="5"/>
        <v>78.60</v>
      </c>
      <c r="I118" s="3">
        <v>46357</v>
      </c>
      <c r="J118" s="6">
        <v>365</v>
      </c>
      <c r="K118" s="6">
        <v>475.6</v>
      </c>
      <c r="L118" s="4" t="s">
        <v>832</v>
      </c>
      <c r="M118" s="6" t="s">
        <v>717</v>
      </c>
      <c r="N118" s="6" t="s">
        <v>98</v>
      </c>
      <c r="O118" s="4">
        <v>387.35</v>
      </c>
      <c r="P118" s="4">
        <v>10.25</v>
      </c>
      <c r="Q118" s="4">
        <v>35.8</v>
      </c>
      <c r="R118" s="4">
        <v>3.02</v>
      </c>
      <c r="S118" s="4">
        <v>3.52</v>
      </c>
      <c r="T118">
        <f t="shared" si="6"/>
        <v>13.12</v>
      </c>
      <c r="U118" s="18">
        <v>73.2</v>
      </c>
      <c r="V118" s="18">
        <f t="shared" si="7"/>
        <v>151.8</v>
      </c>
      <c r="W118" s="18">
        <f t="shared" si="8"/>
        <v>12.6</v>
      </c>
      <c r="X118" s="18">
        <f t="shared" si="9"/>
        <v>840.6</v>
      </c>
      <c r="Y118" s="18">
        <f>AVERAGE(X107:X118)</f>
        <v>780.341666666667</v>
      </c>
      <c r="Z118" s="18">
        <f>AVERAGE(W107:W109)</f>
        <v>10.76</v>
      </c>
      <c r="AA118">
        <f>(SUM(U107:U118)-SUM(U113:U115))/9</f>
        <v>75.4555555555555</v>
      </c>
      <c r="AB118">
        <f>AVERAGE(T107:T118)</f>
        <v>9.265</v>
      </c>
      <c r="AC118">
        <f>SUM(T107:T118)/12</f>
        <v>9.265</v>
      </c>
      <c r="AD118">
        <f>AVERAGE(T107:T109)</f>
        <v>12.6233333333333</v>
      </c>
      <c r="AE118">
        <f>AVERAGE(V107:V118)</f>
        <v>150.951666666667</v>
      </c>
    </row>
    <row r="119" ht="60.75" spans="1:31">
      <c r="B119" s="6" t="s">
        <v>833</v>
      </c>
      <c r="C119" s="6" t="s">
        <v>396</v>
      </c>
      <c r="D119" s="6" t="s">
        <v>8</v>
      </c>
      <c r="E119" s="6" t="s">
        <v>124</v>
      </c>
      <c r="F119" s="6" t="s">
        <v>10</v>
      </c>
      <c r="G119" s="6" t="s">
        <v>125</v>
      </c>
      <c r="H119" s="4" t="str">
        <f t="shared" si="5"/>
        <v>650 氢</v>
      </c>
      <c r="I119" s="6" t="s">
        <v>833</v>
      </c>
      <c r="J119" s="6" t="s">
        <v>126</v>
      </c>
      <c r="K119" s="6" t="s">
        <v>126</v>
      </c>
      <c r="L119" s="6" t="s">
        <v>127</v>
      </c>
      <c r="M119" s="6" t="s">
        <v>15</v>
      </c>
      <c r="N119" s="6" t="s">
        <v>16</v>
      </c>
      <c r="O119" s="6" t="s">
        <v>17</v>
      </c>
      <c r="P119" s="6" t="s">
        <v>18</v>
      </c>
      <c r="Q119" s="6" t="s">
        <v>19</v>
      </c>
      <c r="R119" s="6" t="s">
        <v>128</v>
      </c>
      <c r="S119" s="6" t="s">
        <v>21</v>
      </c>
      <c r="T119" t="e">
        <f t="shared" si="6"/>
        <v>#VALUE!</v>
      </c>
      <c r="U119" s="19" t="s">
        <v>129</v>
      </c>
      <c r="V119" s="18" t="e">
        <f t="shared" si="7"/>
        <v>#VALUE!</v>
      </c>
      <c r="W119" s="18" t="e">
        <f t="shared" si="8"/>
        <v>#VALUE!</v>
      </c>
      <c r="X119" s="18">
        <f t="shared" si="9"/>
        <v>0</v>
      </c>
      <c r="Y119" s="18"/>
      <c r="Z119" s="18"/>
    </row>
    <row r="120" ht="30.75" spans="1:31">
      <c r="A120">
        <v>2010</v>
      </c>
      <c r="B120" s="3">
        <v>46023</v>
      </c>
      <c r="C120" s="4" t="s">
        <v>834</v>
      </c>
      <c r="D120" s="4" t="s">
        <v>835</v>
      </c>
      <c r="E120" s="4" t="s">
        <v>836</v>
      </c>
      <c r="F120" s="4" t="s">
        <v>837</v>
      </c>
      <c r="G120" s="6" t="s">
        <v>838</v>
      </c>
      <c r="H120" s="4" t="str">
        <f t="shared" si="5"/>
        <v>79.15</v>
      </c>
      <c r="I120" s="3">
        <v>46023</v>
      </c>
      <c r="J120" s="6">
        <v>385</v>
      </c>
      <c r="K120" s="6">
        <v>498.4</v>
      </c>
      <c r="L120" s="6" t="s">
        <v>839</v>
      </c>
      <c r="M120" s="6" t="s">
        <v>677</v>
      </c>
      <c r="N120" s="6" t="s">
        <v>58</v>
      </c>
      <c r="O120" s="4">
        <v>388.45</v>
      </c>
      <c r="P120" s="4">
        <v>10.21</v>
      </c>
      <c r="Q120" s="4">
        <v>25.4</v>
      </c>
      <c r="R120" s="4">
        <v>3.12</v>
      </c>
      <c r="S120" s="4">
        <v>3.75</v>
      </c>
      <c r="T120">
        <f t="shared" si="6"/>
        <v>13.87</v>
      </c>
      <c r="U120" s="18">
        <v>72.5</v>
      </c>
      <c r="V120" s="18">
        <f t="shared" si="7"/>
        <v>151.65</v>
      </c>
      <c r="W120" s="18">
        <f t="shared" si="8"/>
        <v>13.14</v>
      </c>
      <c r="X120" s="18">
        <f t="shared" si="9"/>
        <v>883.4</v>
      </c>
      <c r="Y120" s="18"/>
      <c r="Z120" s="18"/>
    </row>
    <row r="121" ht="29.25" spans="1:31">
      <c r="A121">
        <v>2010</v>
      </c>
      <c r="B121" s="3">
        <v>46054</v>
      </c>
      <c r="C121" s="4" t="s">
        <v>840</v>
      </c>
      <c r="D121" s="4" t="s">
        <v>484</v>
      </c>
      <c r="E121" s="4" t="s">
        <v>841</v>
      </c>
      <c r="F121" s="4" t="s">
        <v>842</v>
      </c>
      <c r="G121" s="4" t="s">
        <v>843</v>
      </c>
      <c r="H121" s="4" t="str">
        <f t="shared" si="5"/>
        <v>78.40</v>
      </c>
      <c r="I121" s="3">
        <v>46054</v>
      </c>
      <c r="J121" s="6">
        <v>388</v>
      </c>
      <c r="K121" s="4">
        <v>492.5</v>
      </c>
      <c r="L121" s="4" t="s">
        <v>844</v>
      </c>
      <c r="M121" s="4" t="s">
        <v>845</v>
      </c>
      <c r="N121" s="4" t="s">
        <v>331</v>
      </c>
      <c r="O121" s="4">
        <v>389.82</v>
      </c>
      <c r="P121" s="4">
        <v>10.28</v>
      </c>
      <c r="Q121" s="4">
        <v>28.6</v>
      </c>
      <c r="R121" s="4">
        <v>3.35</v>
      </c>
      <c r="S121" s="4">
        <v>3.62</v>
      </c>
      <c r="T121">
        <f t="shared" si="6"/>
        <v>13.22</v>
      </c>
      <c r="U121" s="18">
        <v>73.2</v>
      </c>
      <c r="V121" s="18">
        <f t="shared" si="7"/>
        <v>151.6</v>
      </c>
      <c r="W121" s="18">
        <f t="shared" si="8"/>
        <v>12.38</v>
      </c>
      <c r="X121" s="18">
        <f t="shared" si="9"/>
        <v>880.5</v>
      </c>
      <c r="Y121" s="18"/>
      <c r="Z121" s="18"/>
    </row>
    <row r="122" ht="29.25" spans="1:31">
      <c r="A122">
        <v>2010</v>
      </c>
      <c r="B122" s="3">
        <v>46082</v>
      </c>
      <c r="C122" s="4" t="s">
        <v>846</v>
      </c>
      <c r="D122" s="4" t="s">
        <v>847</v>
      </c>
      <c r="E122" s="4" t="s">
        <v>848</v>
      </c>
      <c r="F122" s="4" t="s">
        <v>849</v>
      </c>
      <c r="G122" s="4" t="s">
        <v>850</v>
      </c>
      <c r="H122" s="4" t="str">
        <f t="shared" si="5"/>
        <v>77.25</v>
      </c>
      <c r="I122" s="3">
        <v>46082</v>
      </c>
      <c r="J122" s="6">
        <v>382</v>
      </c>
      <c r="K122" s="4">
        <v>475.2</v>
      </c>
      <c r="L122" s="4" t="s">
        <v>851</v>
      </c>
      <c r="M122" s="4" t="s">
        <v>852</v>
      </c>
      <c r="N122" s="6" t="s">
        <v>575</v>
      </c>
      <c r="O122" s="6">
        <v>391.07</v>
      </c>
      <c r="P122" s="4">
        <v>10.41</v>
      </c>
      <c r="Q122" s="4">
        <v>32.5</v>
      </c>
      <c r="R122" s="4">
        <v>3.68</v>
      </c>
      <c r="S122" s="4">
        <v>3.52</v>
      </c>
      <c r="T122">
        <f t="shared" si="6"/>
        <v>11.67</v>
      </c>
      <c r="U122" s="18">
        <v>74.8</v>
      </c>
      <c r="V122" s="18">
        <f t="shared" si="7"/>
        <v>152.05</v>
      </c>
      <c r="W122" s="18">
        <f t="shared" si="8"/>
        <v>11.22</v>
      </c>
      <c r="X122" s="18">
        <f t="shared" si="9"/>
        <v>857.2</v>
      </c>
      <c r="Y122" s="18"/>
      <c r="Z122" s="18"/>
    </row>
    <row r="123" ht="29.25" spans="1:31">
      <c r="A123">
        <v>2010</v>
      </c>
      <c r="B123" s="3">
        <v>46113</v>
      </c>
      <c r="C123" s="4" t="s">
        <v>853</v>
      </c>
      <c r="D123" s="4" t="s">
        <v>854</v>
      </c>
      <c r="E123" s="6" t="s">
        <v>855</v>
      </c>
      <c r="F123" s="4" t="s">
        <v>856</v>
      </c>
      <c r="G123" s="4" t="s">
        <v>857</v>
      </c>
      <c r="H123" s="4" t="str">
        <f t="shared" si="5"/>
        <v>75.80</v>
      </c>
      <c r="I123" s="3">
        <v>46113</v>
      </c>
      <c r="J123" s="6">
        <v>375</v>
      </c>
      <c r="K123" s="4">
        <v>452.8</v>
      </c>
      <c r="L123" s="4" t="s">
        <v>858</v>
      </c>
      <c r="M123" s="4" t="s">
        <v>859</v>
      </c>
      <c r="N123" s="4" t="s">
        <v>481</v>
      </c>
      <c r="O123" s="4">
        <v>392.46</v>
      </c>
      <c r="P123" s="4">
        <v>10.58</v>
      </c>
      <c r="Q123" s="4">
        <v>35.8</v>
      </c>
      <c r="R123" s="4">
        <v>4.25</v>
      </c>
      <c r="S123" s="4">
        <v>2.42</v>
      </c>
      <c r="T123">
        <f t="shared" si="6"/>
        <v>10.01</v>
      </c>
      <c r="U123" s="18">
        <v>76.5</v>
      </c>
      <c r="V123" s="18">
        <f t="shared" si="7"/>
        <v>152.3</v>
      </c>
      <c r="W123" s="18">
        <f t="shared" si="8"/>
        <v>9.75999999999999</v>
      </c>
      <c r="X123" s="18">
        <f t="shared" si="9"/>
        <v>827.8</v>
      </c>
      <c r="Y123" s="18"/>
      <c r="Z123" s="18"/>
    </row>
    <row r="124" ht="29.25" spans="1:31">
      <c r="A124">
        <v>2010</v>
      </c>
      <c r="B124" s="3">
        <v>46143</v>
      </c>
      <c r="C124" s="4" t="s">
        <v>860</v>
      </c>
      <c r="D124" s="4" t="s">
        <v>861</v>
      </c>
      <c r="E124" s="4" t="s">
        <v>862</v>
      </c>
      <c r="F124" s="4" t="s">
        <v>863</v>
      </c>
      <c r="G124" s="4" t="s">
        <v>864</v>
      </c>
      <c r="H124" s="4" t="str">
        <f t="shared" si="5"/>
        <v>73.40</v>
      </c>
      <c r="I124" s="3">
        <v>46143</v>
      </c>
      <c r="J124" s="6">
        <v>365</v>
      </c>
      <c r="K124" s="4">
        <v>432.4</v>
      </c>
      <c r="L124" s="4" t="s">
        <v>865</v>
      </c>
      <c r="M124" s="4" t="s">
        <v>589</v>
      </c>
      <c r="N124" s="4" t="s">
        <v>465</v>
      </c>
      <c r="O124" s="6">
        <v>393.18</v>
      </c>
      <c r="P124" s="4">
        <v>10.79</v>
      </c>
      <c r="Q124" s="4">
        <v>39.2</v>
      </c>
      <c r="R124" s="4">
        <v>4.85</v>
      </c>
      <c r="S124" s="4">
        <v>1.88</v>
      </c>
      <c r="T124">
        <f t="shared" si="6"/>
        <v>8.36</v>
      </c>
      <c r="U124" s="18">
        <v>78.2</v>
      </c>
      <c r="V124" s="18">
        <f t="shared" si="7"/>
        <v>151.6</v>
      </c>
      <c r="W124" s="18">
        <f t="shared" si="8"/>
        <v>7.35000000000001</v>
      </c>
      <c r="X124" s="18">
        <f t="shared" si="9"/>
        <v>797.4</v>
      </c>
      <c r="Y124" s="18"/>
      <c r="Z124" s="18"/>
    </row>
    <row r="125" ht="30.75" spans="1:31">
      <c r="A125">
        <v>2010</v>
      </c>
      <c r="B125" s="3">
        <v>46174</v>
      </c>
      <c r="C125" s="4" t="s">
        <v>866</v>
      </c>
      <c r="D125" s="4" t="s">
        <v>867</v>
      </c>
      <c r="E125" s="4" t="s">
        <v>868</v>
      </c>
      <c r="F125" s="4" t="s">
        <v>869</v>
      </c>
      <c r="G125" s="4" t="s">
        <v>870</v>
      </c>
      <c r="H125" s="4" t="str">
        <f t="shared" si="5"/>
        <v>71.95</v>
      </c>
      <c r="I125" s="3">
        <v>46174</v>
      </c>
      <c r="J125" s="6">
        <v>358</v>
      </c>
      <c r="K125" s="4">
        <v>415.6</v>
      </c>
      <c r="L125" s="6" t="s">
        <v>871</v>
      </c>
      <c r="M125" s="4" t="s">
        <v>872</v>
      </c>
      <c r="N125" s="4" t="s">
        <v>168</v>
      </c>
      <c r="O125" s="4">
        <v>392.12</v>
      </c>
      <c r="P125" s="4">
        <v>10.96</v>
      </c>
      <c r="Q125" s="4">
        <v>35.5</v>
      </c>
      <c r="R125" s="4">
        <v>5.62</v>
      </c>
      <c r="S125" s="4">
        <v>1.42</v>
      </c>
      <c r="T125">
        <f t="shared" si="6"/>
        <v>6.09999999999999</v>
      </c>
      <c r="U125" s="18">
        <v>80.5</v>
      </c>
      <c r="V125" s="18">
        <f t="shared" si="7"/>
        <v>152.45</v>
      </c>
      <c r="W125" s="18">
        <f t="shared" si="8"/>
        <v>5.89</v>
      </c>
      <c r="X125" s="18">
        <f t="shared" si="9"/>
        <v>773.6</v>
      </c>
      <c r="Y125" s="18"/>
      <c r="Z125" s="18"/>
    </row>
    <row r="126" ht="30" spans="1:31">
      <c r="A126">
        <v>2010</v>
      </c>
      <c r="B126" s="3">
        <v>46204</v>
      </c>
      <c r="C126" s="4" t="s">
        <v>873</v>
      </c>
      <c r="D126" s="4" t="s">
        <v>874</v>
      </c>
      <c r="E126" s="4" t="s">
        <v>875</v>
      </c>
      <c r="F126" s="4" t="s">
        <v>876</v>
      </c>
      <c r="G126" s="6" t="s">
        <v>877</v>
      </c>
      <c r="H126" s="4" t="str">
        <f t="shared" si="5"/>
        <v>70.45</v>
      </c>
      <c r="I126" s="3">
        <v>46204</v>
      </c>
      <c r="J126" s="6">
        <v>352</v>
      </c>
      <c r="K126" s="6">
        <v>408.2</v>
      </c>
      <c r="L126" s="6" t="s">
        <v>878</v>
      </c>
      <c r="M126" s="4" t="s">
        <v>566</v>
      </c>
      <c r="N126" s="4" t="s">
        <v>66</v>
      </c>
      <c r="O126" s="4">
        <v>390.17</v>
      </c>
      <c r="P126" s="6">
        <v>11.14</v>
      </c>
      <c r="Q126" s="4">
        <v>34.2</v>
      </c>
      <c r="R126" s="6">
        <v>6.05</v>
      </c>
      <c r="S126" s="6">
        <v>1.15</v>
      </c>
      <c r="T126">
        <f t="shared" si="6"/>
        <v>3.85000000000001</v>
      </c>
      <c r="U126" s="18">
        <v>82.8</v>
      </c>
      <c r="V126" s="18">
        <f t="shared" si="7"/>
        <v>153.25</v>
      </c>
      <c r="W126" s="18">
        <f t="shared" si="8"/>
        <v>4.38000000000001</v>
      </c>
      <c r="X126" s="18">
        <f t="shared" si="9"/>
        <v>760.2</v>
      </c>
      <c r="Y126" s="18"/>
      <c r="Z126" s="18"/>
    </row>
    <row r="127" ht="29.25" spans="1:31">
      <c r="A127">
        <v>2010</v>
      </c>
      <c r="B127" s="3">
        <v>46235</v>
      </c>
      <c r="C127" s="4" t="s">
        <v>879</v>
      </c>
      <c r="D127" s="4" t="s">
        <v>880</v>
      </c>
      <c r="E127" s="4" t="s">
        <v>881</v>
      </c>
      <c r="F127" s="4" t="s">
        <v>882</v>
      </c>
      <c r="G127" s="4" t="s">
        <v>883</v>
      </c>
      <c r="H127" s="4" t="str">
        <f t="shared" si="5"/>
        <v>72.10</v>
      </c>
      <c r="I127" s="3">
        <v>46235</v>
      </c>
      <c r="J127" s="6">
        <v>355</v>
      </c>
      <c r="K127" s="4">
        <v>416.5</v>
      </c>
      <c r="L127" s="4" t="s">
        <v>884</v>
      </c>
      <c r="M127" s="6" t="s">
        <v>472</v>
      </c>
      <c r="N127" s="4" t="s">
        <v>58</v>
      </c>
      <c r="O127" s="4">
        <v>388.15</v>
      </c>
      <c r="P127" s="6">
        <v>11.21</v>
      </c>
      <c r="Q127" s="4">
        <v>37.6</v>
      </c>
      <c r="R127" s="4">
        <v>5.35</v>
      </c>
      <c r="S127" s="4">
        <v>1.25</v>
      </c>
      <c r="T127">
        <f t="shared" si="6"/>
        <v>4.5</v>
      </c>
      <c r="U127" s="18">
        <v>82.2</v>
      </c>
      <c r="V127" s="18">
        <f t="shared" si="7"/>
        <v>154.3</v>
      </c>
      <c r="W127" s="18">
        <f t="shared" si="8"/>
        <v>6.02</v>
      </c>
      <c r="X127" s="18">
        <f t="shared" si="9"/>
        <v>771.5</v>
      </c>
      <c r="Y127" s="18"/>
      <c r="Z127" s="18"/>
    </row>
    <row r="128" ht="29.25" spans="1:31">
      <c r="A128">
        <v>2010</v>
      </c>
      <c r="B128" s="3">
        <v>46266</v>
      </c>
      <c r="C128" s="4" t="s">
        <v>885</v>
      </c>
      <c r="D128" s="4" t="s">
        <v>886</v>
      </c>
      <c r="E128" s="4" t="s">
        <v>887</v>
      </c>
      <c r="F128" s="4" t="s">
        <v>888</v>
      </c>
      <c r="G128" s="4" t="s">
        <v>889</v>
      </c>
      <c r="H128" s="4" t="str">
        <f t="shared" si="5"/>
        <v>74.35</v>
      </c>
      <c r="I128" s="3">
        <v>46266</v>
      </c>
      <c r="J128" s="6">
        <v>362</v>
      </c>
      <c r="K128" s="4">
        <v>435.2</v>
      </c>
      <c r="L128" s="4" t="s">
        <v>890</v>
      </c>
      <c r="M128" s="4" t="s">
        <v>489</v>
      </c>
      <c r="N128" s="4" t="s">
        <v>90</v>
      </c>
      <c r="O128" s="4">
        <v>386.58</v>
      </c>
      <c r="P128" s="4">
        <v>10.92</v>
      </c>
      <c r="Q128" s="4">
        <v>41.5</v>
      </c>
      <c r="R128" s="4">
        <v>4.42</v>
      </c>
      <c r="S128" s="4">
        <v>2.24</v>
      </c>
      <c r="T128">
        <f t="shared" si="6"/>
        <v>7.94</v>
      </c>
      <c r="U128" s="18">
        <v>78.8</v>
      </c>
      <c r="V128" s="18">
        <f t="shared" si="7"/>
        <v>153.15</v>
      </c>
      <c r="W128" s="18">
        <f t="shared" si="8"/>
        <v>8.25999999999999</v>
      </c>
      <c r="X128" s="18">
        <f t="shared" si="9"/>
        <v>797.2</v>
      </c>
      <c r="Y128" s="18"/>
      <c r="Z128" s="18"/>
    </row>
    <row r="129" ht="29.25" spans="1:31">
      <c r="A129">
        <v>2010</v>
      </c>
      <c r="B129" s="3">
        <v>46296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4" t="s">
        <v>895</v>
      </c>
      <c r="H129" s="4" t="str">
        <f t="shared" si="5"/>
        <v>76.80</v>
      </c>
      <c r="I129" s="3">
        <v>46296</v>
      </c>
      <c r="J129" s="6">
        <v>375</v>
      </c>
      <c r="K129" s="4">
        <v>458.6</v>
      </c>
      <c r="L129" s="4" t="s">
        <v>896</v>
      </c>
      <c r="M129" s="4" t="s">
        <v>897</v>
      </c>
      <c r="N129" s="4" t="s">
        <v>137</v>
      </c>
      <c r="O129" s="4">
        <v>387.18</v>
      </c>
      <c r="P129" s="4">
        <v>10.61</v>
      </c>
      <c r="Q129" s="6">
        <v>49.8</v>
      </c>
      <c r="R129" s="4">
        <v>3.85</v>
      </c>
      <c r="S129" s="4">
        <v>3.15</v>
      </c>
      <c r="T129">
        <f t="shared" si="6"/>
        <v>9.59</v>
      </c>
      <c r="U129" s="18">
        <v>77.2</v>
      </c>
      <c r="V129" s="18">
        <f t="shared" si="7"/>
        <v>154</v>
      </c>
      <c r="W129" s="18">
        <f t="shared" si="8"/>
        <v>10.69</v>
      </c>
      <c r="X129" s="18">
        <f t="shared" si="9"/>
        <v>833.6</v>
      </c>
      <c r="Y129" s="18"/>
      <c r="Z129" s="18"/>
    </row>
    <row r="130" ht="29.25" spans="1:31">
      <c r="A130">
        <v>2010</v>
      </c>
      <c r="B130" s="3">
        <v>46327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4" t="s">
        <v>902</v>
      </c>
      <c r="H130" s="4" t="str">
        <f t="shared" si="5"/>
        <v>79.55</v>
      </c>
      <c r="I130" s="3">
        <v>46327</v>
      </c>
      <c r="J130" s="6">
        <v>382</v>
      </c>
      <c r="K130" s="4">
        <v>485.4</v>
      </c>
      <c r="L130" s="4" t="s">
        <v>903</v>
      </c>
      <c r="M130" s="4" t="s">
        <v>904</v>
      </c>
      <c r="N130" s="4" t="s">
        <v>145</v>
      </c>
      <c r="O130" s="4">
        <v>388.59</v>
      </c>
      <c r="P130" s="4">
        <v>10.44</v>
      </c>
      <c r="Q130" s="6">
        <v>53.4</v>
      </c>
      <c r="R130" s="4">
        <v>3.32</v>
      </c>
      <c r="S130" s="4">
        <v>3.68</v>
      </c>
      <c r="T130">
        <f t="shared" si="6"/>
        <v>11.33</v>
      </c>
      <c r="U130" s="18">
        <v>75.5</v>
      </c>
      <c r="V130" s="18">
        <f t="shared" si="7"/>
        <v>155.05</v>
      </c>
      <c r="W130" s="18">
        <f t="shared" si="8"/>
        <v>13.43</v>
      </c>
      <c r="X130" s="18">
        <f t="shared" si="9"/>
        <v>867.4</v>
      </c>
      <c r="Y130" s="18"/>
      <c r="Z130" s="18"/>
    </row>
    <row r="131" ht="30" spans="1:31">
      <c r="A131">
        <v>2010</v>
      </c>
      <c r="B131" s="3">
        <v>46357</v>
      </c>
      <c r="C131" s="4" t="s">
        <v>905</v>
      </c>
      <c r="D131" s="4" t="s">
        <v>906</v>
      </c>
      <c r="E131" s="4" t="s">
        <v>907</v>
      </c>
      <c r="F131" s="4" t="s">
        <v>908</v>
      </c>
      <c r="G131" s="6" t="s">
        <v>909</v>
      </c>
      <c r="H131" s="4" t="str">
        <f t="shared" ref="H131:H194" si="10">LEFT(G131,5)</f>
        <v>82.30</v>
      </c>
      <c r="I131" s="3">
        <v>46357</v>
      </c>
      <c r="J131" s="6">
        <v>392</v>
      </c>
      <c r="K131" s="6">
        <v>512.3</v>
      </c>
      <c r="L131" s="4" t="s">
        <v>910</v>
      </c>
      <c r="M131" s="6" t="s">
        <v>464</v>
      </c>
      <c r="N131" s="6" t="s">
        <v>734</v>
      </c>
      <c r="O131" s="4">
        <v>390.14</v>
      </c>
      <c r="P131" s="4">
        <v>10.35</v>
      </c>
      <c r="Q131" s="4">
        <v>46.2</v>
      </c>
      <c r="R131" s="4">
        <v>3.18</v>
      </c>
      <c r="S131" s="4">
        <v>3.92</v>
      </c>
      <c r="T131">
        <f t="shared" ref="T131:T194" si="11">LEFT(C131,5)-LEFT(D131,4)</f>
        <v>13.08</v>
      </c>
      <c r="U131" s="18">
        <v>73.8</v>
      </c>
      <c r="V131" s="18">
        <f t="shared" ref="V131:V194" si="12">LEFT(D131,4)+LEFT(G131,5)</f>
        <v>156.1</v>
      </c>
      <c r="W131" s="18">
        <f t="shared" ref="W131:W194" si="13">LEFT(G131,5)-LEFT(F131,5)</f>
        <v>16.17</v>
      </c>
      <c r="X131" s="18">
        <f t="shared" ref="X131:X194" si="14">SUM(J131:K131)</f>
        <v>904.3</v>
      </c>
      <c r="Y131" s="18">
        <f>AVERAGE(X120:X131)</f>
        <v>829.508333333333</v>
      </c>
      <c r="Z131" s="18">
        <f>AVERAGE(W120:W122)</f>
        <v>12.2466666666667</v>
      </c>
      <c r="AA131">
        <f>(SUM(U120:U131)-SUM(U126:U128))/9</f>
        <v>75.8</v>
      </c>
      <c r="AB131">
        <f>AVERAGE(T120:T131)</f>
        <v>9.46</v>
      </c>
      <c r="AC131">
        <f>(SUM(T120:T131)-T123)/11</f>
        <v>9.41</v>
      </c>
      <c r="AD131">
        <f>AVERAGE(T120:T122)</f>
        <v>12.92</v>
      </c>
      <c r="AE131">
        <f>AVERAGE(V120:V131)</f>
        <v>153.125</v>
      </c>
    </row>
    <row r="132" ht="60.75" spans="1:31">
      <c r="B132" s="6" t="s">
        <v>911</v>
      </c>
      <c r="C132" s="6" t="s">
        <v>396</v>
      </c>
      <c r="D132" s="6" t="s">
        <v>8</v>
      </c>
      <c r="E132" s="6" t="s">
        <v>124</v>
      </c>
      <c r="F132" s="6" t="s">
        <v>10</v>
      </c>
      <c r="G132" s="6" t="s">
        <v>125</v>
      </c>
      <c r="H132" s="4" t="str">
        <f t="shared" si="10"/>
        <v>650 氢</v>
      </c>
      <c r="I132" s="6" t="s">
        <v>911</v>
      </c>
      <c r="J132" s="6" t="s">
        <v>126</v>
      </c>
      <c r="K132" s="6" t="s">
        <v>126</v>
      </c>
      <c r="L132" s="6" t="s">
        <v>127</v>
      </c>
      <c r="M132" s="6" t="s">
        <v>15</v>
      </c>
      <c r="N132" s="6" t="s">
        <v>16</v>
      </c>
      <c r="O132" s="6" t="s">
        <v>17</v>
      </c>
      <c r="P132" s="6" t="s">
        <v>18</v>
      </c>
      <c r="Q132" s="6" t="s">
        <v>19</v>
      </c>
      <c r="R132" s="6" t="s">
        <v>128</v>
      </c>
      <c r="S132" s="6" t="s">
        <v>21</v>
      </c>
      <c r="T132" t="e">
        <f t="shared" si="11"/>
        <v>#VALUE!</v>
      </c>
      <c r="U132" s="19" t="s">
        <v>129</v>
      </c>
      <c r="V132" s="18" t="e">
        <f t="shared" si="12"/>
        <v>#VALUE!</v>
      </c>
      <c r="W132" s="18" t="e">
        <f t="shared" si="13"/>
        <v>#VALUE!</v>
      </c>
      <c r="X132" s="18">
        <f t="shared" si="14"/>
        <v>0</v>
      </c>
      <c r="Y132" s="18"/>
      <c r="Z132" s="18"/>
    </row>
    <row r="133" ht="45.75" spans="1:31">
      <c r="A133">
        <v>2011</v>
      </c>
      <c r="B133" s="3">
        <v>46023</v>
      </c>
      <c r="C133" s="4" t="s">
        <v>912</v>
      </c>
      <c r="D133" s="4" t="s">
        <v>913</v>
      </c>
      <c r="E133" s="4" t="s">
        <v>914</v>
      </c>
      <c r="F133" s="4" t="s">
        <v>915</v>
      </c>
      <c r="G133" s="6" t="s">
        <v>916</v>
      </c>
      <c r="H133" s="4" t="str">
        <f t="shared" si="10"/>
        <v>83.15</v>
      </c>
      <c r="I133" s="3">
        <v>46023</v>
      </c>
      <c r="J133" s="6">
        <v>412</v>
      </c>
      <c r="K133" s="6">
        <v>538.2</v>
      </c>
      <c r="L133" s="6" t="s">
        <v>917</v>
      </c>
      <c r="M133" s="6" t="s">
        <v>918</v>
      </c>
      <c r="N133" s="6" t="s">
        <v>670</v>
      </c>
      <c r="O133" s="4">
        <v>391.03</v>
      </c>
      <c r="P133" s="4">
        <v>10.18</v>
      </c>
      <c r="Q133" s="4">
        <v>29.5</v>
      </c>
      <c r="R133" s="4">
        <v>3.25</v>
      </c>
      <c r="S133" s="4">
        <v>4.15</v>
      </c>
      <c r="T133">
        <f t="shared" si="11"/>
        <v>14.93</v>
      </c>
      <c r="U133" s="18">
        <v>72</v>
      </c>
      <c r="V133" s="18">
        <f t="shared" si="12"/>
        <v>155.15</v>
      </c>
      <c r="W133" s="18">
        <f t="shared" si="13"/>
        <v>17.01</v>
      </c>
      <c r="X133" s="18">
        <f t="shared" si="14"/>
        <v>950.2</v>
      </c>
      <c r="Y133" s="18"/>
      <c r="Z133" s="18"/>
    </row>
    <row r="134" ht="29.25" spans="1:31">
      <c r="A134">
        <v>2011</v>
      </c>
      <c r="B134" s="3">
        <v>46054</v>
      </c>
      <c r="C134" s="4" t="s">
        <v>919</v>
      </c>
      <c r="D134" s="4" t="s">
        <v>920</v>
      </c>
      <c r="E134" s="4" t="s">
        <v>921</v>
      </c>
      <c r="F134" s="4" t="s">
        <v>922</v>
      </c>
      <c r="G134" s="4" t="s">
        <v>923</v>
      </c>
      <c r="H134" s="4" t="str">
        <f t="shared" si="10"/>
        <v>82.80</v>
      </c>
      <c r="I134" s="3">
        <v>46054</v>
      </c>
      <c r="J134" s="6">
        <v>415</v>
      </c>
      <c r="K134" s="4">
        <v>532.4</v>
      </c>
      <c r="L134" s="4" t="s">
        <v>924</v>
      </c>
      <c r="M134" s="4" t="s">
        <v>925</v>
      </c>
      <c r="N134" s="4" t="s">
        <v>718</v>
      </c>
      <c r="O134" s="4">
        <v>391.8</v>
      </c>
      <c r="P134" s="4">
        <v>10.22</v>
      </c>
      <c r="Q134" s="4">
        <v>33.8</v>
      </c>
      <c r="R134" s="4">
        <v>3.48</v>
      </c>
      <c r="S134" s="4">
        <v>4.32</v>
      </c>
      <c r="T134">
        <f t="shared" si="11"/>
        <v>14.17</v>
      </c>
      <c r="U134" s="18">
        <v>72.8</v>
      </c>
      <c r="V134" s="18">
        <f t="shared" si="12"/>
        <v>155.6</v>
      </c>
      <c r="W134" s="18">
        <f t="shared" si="13"/>
        <v>16.65</v>
      </c>
      <c r="X134" s="18">
        <f t="shared" si="14"/>
        <v>947.4</v>
      </c>
      <c r="Y134" s="18"/>
      <c r="Z134" s="18"/>
    </row>
    <row r="135" ht="29.25" spans="1:31">
      <c r="A135">
        <v>2011</v>
      </c>
      <c r="B135" s="3">
        <v>46082</v>
      </c>
      <c r="C135" s="4" t="s">
        <v>926</v>
      </c>
      <c r="D135" s="4" t="s">
        <v>927</v>
      </c>
      <c r="E135" s="6" t="s">
        <v>928</v>
      </c>
      <c r="F135" s="4" t="s">
        <v>929</v>
      </c>
      <c r="G135" s="4" t="s">
        <v>930</v>
      </c>
      <c r="H135" s="4" t="str">
        <f t="shared" si="10"/>
        <v>80.45</v>
      </c>
      <c r="I135" s="3">
        <v>46082</v>
      </c>
      <c r="J135" s="6">
        <v>408</v>
      </c>
      <c r="K135" s="4">
        <v>515.6</v>
      </c>
      <c r="L135" s="4" t="s">
        <v>931</v>
      </c>
      <c r="M135" s="6" t="s">
        <v>932</v>
      </c>
      <c r="N135" s="4" t="s">
        <v>686</v>
      </c>
      <c r="O135" s="4">
        <v>392.51</v>
      </c>
      <c r="P135" s="4">
        <v>10.35</v>
      </c>
      <c r="Q135" s="4">
        <v>42.1</v>
      </c>
      <c r="R135" s="4">
        <v>3.85</v>
      </c>
      <c r="S135" s="4">
        <v>4.1</v>
      </c>
      <c r="T135">
        <f t="shared" si="11"/>
        <v>12.52</v>
      </c>
      <c r="U135" s="18">
        <v>74.5</v>
      </c>
      <c r="V135" s="18">
        <f t="shared" si="12"/>
        <v>154.95</v>
      </c>
      <c r="W135" s="18">
        <f t="shared" si="13"/>
        <v>14.29</v>
      </c>
      <c r="X135" s="18">
        <f t="shared" si="14"/>
        <v>923.6</v>
      </c>
      <c r="Y135" s="18"/>
      <c r="Z135" s="18"/>
    </row>
    <row r="136" ht="29.25" spans="1:31">
      <c r="A136">
        <v>2011</v>
      </c>
      <c r="B136" s="3">
        <v>46113</v>
      </c>
      <c r="C136" s="4" t="s">
        <v>933</v>
      </c>
      <c r="D136" s="4" t="s">
        <v>934</v>
      </c>
      <c r="E136" s="4" t="s">
        <v>935</v>
      </c>
      <c r="F136" s="4" t="s">
        <v>936</v>
      </c>
      <c r="G136" s="4" t="s">
        <v>937</v>
      </c>
      <c r="H136" s="4" t="str">
        <f t="shared" si="10"/>
        <v>78.90</v>
      </c>
      <c r="I136" s="3">
        <v>46113</v>
      </c>
      <c r="J136" s="6">
        <v>402</v>
      </c>
      <c r="K136" s="4">
        <v>492.3</v>
      </c>
      <c r="L136" s="4" t="s">
        <v>938</v>
      </c>
      <c r="M136" s="4" t="s">
        <v>257</v>
      </c>
      <c r="N136" s="4" t="s">
        <v>42</v>
      </c>
      <c r="O136" s="4">
        <v>394.31</v>
      </c>
      <c r="P136" s="4">
        <v>10.52</v>
      </c>
      <c r="Q136" s="4">
        <v>48.5</v>
      </c>
      <c r="R136" s="4">
        <v>4.52</v>
      </c>
      <c r="S136" s="4">
        <v>3.15</v>
      </c>
      <c r="T136">
        <f t="shared" si="11"/>
        <v>10.87</v>
      </c>
      <c r="U136" s="18">
        <v>76.2</v>
      </c>
      <c r="V136" s="18">
        <f t="shared" si="12"/>
        <v>155.1</v>
      </c>
      <c r="W136" s="18">
        <f t="shared" si="13"/>
        <v>12.72</v>
      </c>
      <c r="X136" s="18">
        <f t="shared" si="14"/>
        <v>894.3</v>
      </c>
      <c r="Y136" s="18"/>
      <c r="Z136" s="18"/>
    </row>
    <row r="137" ht="29.25" spans="1:31">
      <c r="A137">
        <v>2011</v>
      </c>
      <c r="B137" s="3">
        <v>46143</v>
      </c>
      <c r="C137" s="4" t="s">
        <v>939</v>
      </c>
      <c r="D137" s="4" t="s">
        <v>940</v>
      </c>
      <c r="E137" s="4" t="s">
        <v>941</v>
      </c>
      <c r="F137" s="4" t="s">
        <v>942</v>
      </c>
      <c r="G137" s="4" t="s">
        <v>943</v>
      </c>
      <c r="H137" s="4" t="str">
        <f t="shared" si="10"/>
        <v>76.12</v>
      </c>
      <c r="I137" s="3">
        <v>46143</v>
      </c>
      <c r="J137" s="6">
        <v>390</v>
      </c>
      <c r="K137" s="4">
        <v>468.7</v>
      </c>
      <c r="L137" s="4" t="s">
        <v>944</v>
      </c>
      <c r="M137" s="4" t="s">
        <v>271</v>
      </c>
      <c r="N137" s="4" t="s">
        <v>710</v>
      </c>
      <c r="O137" s="6">
        <v>394.49</v>
      </c>
      <c r="P137" s="4">
        <v>10.71</v>
      </c>
      <c r="Q137" s="4">
        <v>52.4</v>
      </c>
      <c r="R137" s="4">
        <v>5.24</v>
      </c>
      <c r="S137" s="4">
        <v>2.42</v>
      </c>
      <c r="T137">
        <f t="shared" si="11"/>
        <v>9.11</v>
      </c>
      <c r="U137" s="18">
        <v>78</v>
      </c>
      <c r="V137" s="18">
        <f t="shared" si="12"/>
        <v>154.12</v>
      </c>
      <c r="W137" s="18">
        <f t="shared" si="13"/>
        <v>9.93000000000001</v>
      </c>
      <c r="X137" s="18">
        <f t="shared" si="14"/>
        <v>858.7</v>
      </c>
      <c r="Y137" s="18"/>
      <c r="Z137" s="18"/>
    </row>
    <row r="138" ht="41.25" spans="1:31">
      <c r="A138">
        <v>2011</v>
      </c>
      <c r="B138" s="3">
        <v>46174</v>
      </c>
      <c r="C138" s="4" t="s">
        <v>945</v>
      </c>
      <c r="D138" s="4" t="s">
        <v>946</v>
      </c>
      <c r="E138" s="4" t="s">
        <v>947</v>
      </c>
      <c r="F138" s="4" t="s">
        <v>948</v>
      </c>
      <c r="G138" s="4" t="s">
        <v>949</v>
      </c>
      <c r="H138" s="4" t="str">
        <f t="shared" si="10"/>
        <v>73.85</v>
      </c>
      <c r="I138" s="3">
        <v>46174</v>
      </c>
      <c r="J138" s="6">
        <v>382</v>
      </c>
      <c r="K138" s="4">
        <v>445.2</v>
      </c>
      <c r="L138" s="6" t="s">
        <v>950</v>
      </c>
      <c r="M138" s="4" t="s">
        <v>338</v>
      </c>
      <c r="N138" s="4" t="s">
        <v>734</v>
      </c>
      <c r="O138" s="4">
        <v>393.82</v>
      </c>
      <c r="P138" s="4">
        <v>10.88</v>
      </c>
      <c r="Q138" s="4">
        <v>46.2</v>
      </c>
      <c r="R138" s="4">
        <v>6.05</v>
      </c>
      <c r="S138" s="4">
        <v>1.95</v>
      </c>
      <c r="T138">
        <f t="shared" si="11"/>
        <v>6.66</v>
      </c>
      <c r="U138" s="18">
        <v>80.5</v>
      </c>
      <c r="V138" s="18">
        <f t="shared" si="12"/>
        <v>154.35</v>
      </c>
      <c r="W138" s="18">
        <f t="shared" si="13"/>
        <v>7.64999999999999</v>
      </c>
      <c r="X138" s="18">
        <f t="shared" si="14"/>
        <v>827.2</v>
      </c>
      <c r="Y138" s="18"/>
      <c r="Z138" s="18"/>
    </row>
    <row r="139" ht="42" spans="1:31">
      <c r="A139">
        <v>2011</v>
      </c>
      <c r="B139" s="3">
        <v>46204</v>
      </c>
      <c r="C139" s="4" t="s">
        <v>951</v>
      </c>
      <c r="D139" s="4" t="s">
        <v>952</v>
      </c>
      <c r="E139" s="4" t="s">
        <v>953</v>
      </c>
      <c r="F139" s="4" t="s">
        <v>954</v>
      </c>
      <c r="G139" s="6" t="s">
        <v>955</v>
      </c>
      <c r="H139" s="4" t="str">
        <f t="shared" si="10"/>
        <v>72.10</v>
      </c>
      <c r="I139" s="3">
        <v>46204</v>
      </c>
      <c r="J139" s="6">
        <v>375</v>
      </c>
      <c r="K139" s="6">
        <v>436.5</v>
      </c>
      <c r="L139" s="6" t="s">
        <v>956</v>
      </c>
      <c r="M139" s="4" t="s">
        <v>278</v>
      </c>
      <c r="N139" s="4" t="s">
        <v>702</v>
      </c>
      <c r="O139" s="4">
        <v>392.36</v>
      </c>
      <c r="P139" s="6">
        <v>11.04</v>
      </c>
      <c r="Q139" s="4">
        <v>44.8</v>
      </c>
      <c r="R139" s="6">
        <v>6.62</v>
      </c>
      <c r="S139" s="6">
        <v>1.58</v>
      </c>
      <c r="T139">
        <f t="shared" si="11"/>
        <v>4.70999999999999</v>
      </c>
      <c r="U139" s="18">
        <v>82.5</v>
      </c>
      <c r="V139" s="18">
        <f t="shared" si="12"/>
        <v>154.6</v>
      </c>
      <c r="W139" s="18">
        <f t="shared" si="13"/>
        <v>5.89</v>
      </c>
      <c r="X139" s="18">
        <f t="shared" si="14"/>
        <v>811.5</v>
      </c>
      <c r="Y139" s="18"/>
      <c r="Z139" s="18"/>
    </row>
    <row r="140" ht="29.25" spans="1:31">
      <c r="A140">
        <v>2011</v>
      </c>
      <c r="B140" s="3">
        <v>46235</v>
      </c>
      <c r="C140" s="4" t="s">
        <v>957</v>
      </c>
      <c r="D140" s="6" t="s">
        <v>958</v>
      </c>
      <c r="E140" s="6" t="s">
        <v>959</v>
      </c>
      <c r="F140" s="4" t="s">
        <v>960</v>
      </c>
      <c r="G140" s="4" t="s">
        <v>961</v>
      </c>
      <c r="H140" s="4" t="str">
        <f t="shared" si="10"/>
        <v>74.35</v>
      </c>
      <c r="I140" s="3">
        <v>46235</v>
      </c>
      <c r="J140" s="6">
        <v>378</v>
      </c>
      <c r="K140" s="4">
        <v>442.8</v>
      </c>
      <c r="L140" s="4" t="s">
        <v>962</v>
      </c>
      <c r="M140" s="4" t="s">
        <v>963</v>
      </c>
      <c r="N140" s="4" t="s">
        <v>694</v>
      </c>
      <c r="O140" s="4">
        <v>390.23</v>
      </c>
      <c r="P140" s="6">
        <v>11.1</v>
      </c>
      <c r="Q140" s="4">
        <v>48.6</v>
      </c>
      <c r="R140" s="4">
        <v>5.85</v>
      </c>
      <c r="S140" s="4">
        <v>1.82</v>
      </c>
      <c r="T140">
        <f t="shared" si="11"/>
        <v>2.05</v>
      </c>
      <c r="U140" s="18">
        <v>85.2</v>
      </c>
      <c r="V140" s="18">
        <f t="shared" si="12"/>
        <v>159.55</v>
      </c>
      <c r="W140" s="18">
        <f t="shared" si="13"/>
        <v>8.11999999999999</v>
      </c>
      <c r="X140" s="18">
        <f t="shared" si="14"/>
        <v>820.8</v>
      </c>
      <c r="Y140" s="18"/>
      <c r="Z140" s="18"/>
    </row>
    <row r="141" ht="29.25" spans="1:31">
      <c r="A141">
        <v>2011</v>
      </c>
      <c r="B141" s="3">
        <v>46266</v>
      </c>
      <c r="C141" s="4" t="s">
        <v>964</v>
      </c>
      <c r="D141" s="4" t="s">
        <v>965</v>
      </c>
      <c r="E141" s="4" t="s">
        <v>966</v>
      </c>
      <c r="F141" s="4" t="s">
        <v>967</v>
      </c>
      <c r="G141" s="4" t="s">
        <v>968</v>
      </c>
      <c r="H141" s="4" t="str">
        <f t="shared" si="10"/>
        <v>77.20</v>
      </c>
      <c r="I141" s="3">
        <v>46266</v>
      </c>
      <c r="J141" s="6">
        <v>385</v>
      </c>
      <c r="K141" s="4">
        <v>465.1</v>
      </c>
      <c r="L141" s="4" t="s">
        <v>969</v>
      </c>
      <c r="M141" s="4" t="s">
        <v>970</v>
      </c>
      <c r="N141" s="4" t="s">
        <v>678</v>
      </c>
      <c r="O141" s="4">
        <v>388.94</v>
      </c>
      <c r="P141" s="4">
        <v>10.82</v>
      </c>
      <c r="Q141" s="4">
        <v>55.4</v>
      </c>
      <c r="R141" s="4">
        <v>4.88</v>
      </c>
      <c r="S141" s="4">
        <v>2.95</v>
      </c>
      <c r="T141">
        <f t="shared" si="11"/>
        <v>8.8</v>
      </c>
      <c r="U141" s="18">
        <v>78.5</v>
      </c>
      <c r="V141" s="18">
        <f t="shared" si="12"/>
        <v>155.7</v>
      </c>
      <c r="W141" s="18">
        <f t="shared" si="13"/>
        <v>10.96</v>
      </c>
      <c r="X141" s="18">
        <f t="shared" si="14"/>
        <v>850.1</v>
      </c>
      <c r="Y141" s="18"/>
      <c r="Z141" s="18"/>
    </row>
    <row r="142" ht="29.25" spans="1:31">
      <c r="A142">
        <v>2011</v>
      </c>
      <c r="B142" s="3">
        <v>46296</v>
      </c>
      <c r="C142" s="4" t="s">
        <v>971</v>
      </c>
      <c r="D142" s="6" t="s">
        <v>972</v>
      </c>
      <c r="E142" s="6" t="s">
        <v>973</v>
      </c>
      <c r="F142" s="4" t="s">
        <v>974</v>
      </c>
      <c r="G142" s="4" t="s">
        <v>975</v>
      </c>
      <c r="H142" s="4" t="str">
        <f t="shared" si="10"/>
        <v>80.15</v>
      </c>
      <c r="I142" s="3">
        <v>46296</v>
      </c>
      <c r="J142" s="6">
        <v>395</v>
      </c>
      <c r="K142" s="4">
        <v>492.6</v>
      </c>
      <c r="L142" s="4" t="s">
        <v>976</v>
      </c>
      <c r="M142" s="4" t="s">
        <v>977</v>
      </c>
      <c r="N142" s="4" t="s">
        <v>106</v>
      </c>
      <c r="O142" s="4">
        <v>389.26</v>
      </c>
      <c r="P142" s="4">
        <v>10.51</v>
      </c>
      <c r="Q142" s="6">
        <v>68.2</v>
      </c>
      <c r="R142" s="4">
        <v>4.25</v>
      </c>
      <c r="S142" s="4">
        <v>3.84</v>
      </c>
      <c r="T142">
        <f t="shared" si="11"/>
        <v>2.55</v>
      </c>
      <c r="U142" s="18">
        <v>84.8</v>
      </c>
      <c r="V142" s="18">
        <f t="shared" si="12"/>
        <v>164.95</v>
      </c>
      <c r="W142" s="18">
        <f t="shared" si="13"/>
        <v>13.9</v>
      </c>
      <c r="X142" s="18">
        <f t="shared" si="14"/>
        <v>887.6</v>
      </c>
      <c r="Y142" s="18"/>
      <c r="Z142" s="18"/>
    </row>
    <row r="143" ht="42" spans="1:31">
      <c r="A143">
        <v>2011</v>
      </c>
      <c r="B143" s="3">
        <v>46327</v>
      </c>
      <c r="C143" s="4" t="s">
        <v>978</v>
      </c>
      <c r="D143" s="4" t="s">
        <v>979</v>
      </c>
      <c r="E143" s="4" t="s">
        <v>980</v>
      </c>
      <c r="F143" s="4" t="s">
        <v>981</v>
      </c>
      <c r="G143" s="6" t="s">
        <v>982</v>
      </c>
      <c r="H143" s="4" t="str">
        <f t="shared" si="10"/>
        <v>83.90</v>
      </c>
      <c r="I143" s="3">
        <v>46327</v>
      </c>
      <c r="J143" s="6">
        <v>402</v>
      </c>
      <c r="K143" s="4">
        <v>525.4</v>
      </c>
      <c r="L143" s="4" t="s">
        <v>983</v>
      </c>
      <c r="M143" s="4" t="s">
        <v>984</v>
      </c>
      <c r="N143" s="4" t="s">
        <v>98</v>
      </c>
      <c r="O143" s="4">
        <v>390.41</v>
      </c>
      <c r="P143" s="4">
        <v>10.38</v>
      </c>
      <c r="Q143" s="6">
        <v>72.5</v>
      </c>
      <c r="R143" s="4">
        <v>3.65</v>
      </c>
      <c r="S143" s="4">
        <v>4.52</v>
      </c>
      <c r="T143">
        <f t="shared" si="11"/>
        <v>12.19</v>
      </c>
      <c r="U143" s="18">
        <v>75.2</v>
      </c>
      <c r="V143" s="18">
        <f t="shared" si="12"/>
        <v>159.1</v>
      </c>
      <c r="W143" s="18">
        <f t="shared" si="13"/>
        <v>17.64</v>
      </c>
      <c r="X143" s="18">
        <f t="shared" si="14"/>
        <v>927.4</v>
      </c>
      <c r="Y143" s="18"/>
      <c r="Z143" s="18"/>
    </row>
    <row r="144" ht="42.75" spans="1:31">
      <c r="A144">
        <v>2011</v>
      </c>
      <c r="B144" s="3">
        <v>46357</v>
      </c>
      <c r="C144" s="4" t="s">
        <v>985</v>
      </c>
      <c r="D144" s="4" t="s">
        <v>986</v>
      </c>
      <c r="E144" s="4" t="s">
        <v>987</v>
      </c>
      <c r="F144" s="4" t="s">
        <v>988</v>
      </c>
      <c r="G144" s="6" t="s">
        <v>989</v>
      </c>
      <c r="H144" s="4" t="str">
        <f t="shared" si="10"/>
        <v>85.65</v>
      </c>
      <c r="I144" s="3">
        <v>46357</v>
      </c>
      <c r="J144" s="6">
        <v>410</v>
      </c>
      <c r="K144" s="6">
        <v>556.2</v>
      </c>
      <c r="L144" s="4" t="s">
        <v>990</v>
      </c>
      <c r="M144" s="6" t="s">
        <v>991</v>
      </c>
      <c r="N144" s="6" t="s">
        <v>710</v>
      </c>
      <c r="O144" s="4">
        <v>392.01</v>
      </c>
      <c r="P144" s="4">
        <v>10.29</v>
      </c>
      <c r="Q144" s="4">
        <v>58.4</v>
      </c>
      <c r="R144" s="4">
        <v>3.42</v>
      </c>
      <c r="S144" s="4">
        <v>4.88</v>
      </c>
      <c r="T144">
        <f t="shared" si="11"/>
        <v>13.94</v>
      </c>
      <c r="U144" s="18">
        <v>73.5</v>
      </c>
      <c r="V144" s="18">
        <f t="shared" si="12"/>
        <v>159.15</v>
      </c>
      <c r="W144" s="18">
        <f t="shared" si="13"/>
        <v>19.37</v>
      </c>
      <c r="X144" s="18">
        <f t="shared" si="14"/>
        <v>966.2</v>
      </c>
      <c r="Y144" s="18">
        <f>AVERAGE(X133:X144)</f>
        <v>888.75</v>
      </c>
      <c r="Z144" s="18">
        <f>AVERAGE(W133:W135)</f>
        <v>15.9833333333333</v>
      </c>
      <c r="AA144">
        <f>(SUM(U133:U144)-SUM(U139:U141))/9</f>
        <v>76.3888888888889</v>
      </c>
      <c r="AB144">
        <f>AVERAGE(T133:T144)</f>
        <v>9.375</v>
      </c>
      <c r="AC144">
        <f>(SUM(T133:T144)-T140-T142)/10</f>
        <v>10.79</v>
      </c>
      <c r="AD144">
        <f>AVERAGE(T133:T135)</f>
        <v>13.8733333333333</v>
      </c>
      <c r="AE144">
        <f>AVERAGE(V133:V144)</f>
        <v>156.86</v>
      </c>
    </row>
    <row r="145" ht="60.75" spans="1:31">
      <c r="B145" s="6" t="s">
        <v>992</v>
      </c>
      <c r="C145" s="6" t="s">
        <v>396</v>
      </c>
      <c r="D145" s="6" t="s">
        <v>8</v>
      </c>
      <c r="E145" s="6" t="s">
        <v>124</v>
      </c>
      <c r="F145" s="6" t="s">
        <v>10</v>
      </c>
      <c r="G145" s="6" t="s">
        <v>125</v>
      </c>
      <c r="H145" s="4" t="str">
        <f t="shared" si="10"/>
        <v>650 氢</v>
      </c>
      <c r="I145" s="6" t="s">
        <v>992</v>
      </c>
      <c r="J145" s="6" t="s">
        <v>126</v>
      </c>
      <c r="K145" s="6" t="s">
        <v>126</v>
      </c>
      <c r="L145" s="6" t="s">
        <v>127</v>
      </c>
      <c r="M145" s="6" t="s">
        <v>15</v>
      </c>
      <c r="N145" s="6" t="s">
        <v>16</v>
      </c>
      <c r="O145" s="6" t="s">
        <v>17</v>
      </c>
      <c r="P145" s="6" t="s">
        <v>18</v>
      </c>
      <c r="Q145" s="6" t="s">
        <v>19</v>
      </c>
      <c r="R145" s="6" t="s">
        <v>128</v>
      </c>
      <c r="S145" s="6" t="s">
        <v>21</v>
      </c>
      <c r="T145" t="e">
        <f t="shared" si="11"/>
        <v>#VALUE!</v>
      </c>
      <c r="U145" s="19" t="s">
        <v>129</v>
      </c>
      <c r="V145" s="18" t="e">
        <f t="shared" si="12"/>
        <v>#VALUE!</v>
      </c>
      <c r="W145" s="18" t="e">
        <f t="shared" si="13"/>
        <v>#VALUE!</v>
      </c>
      <c r="X145" s="18">
        <f t="shared" si="14"/>
        <v>0</v>
      </c>
      <c r="Y145" s="18"/>
      <c r="Z145" s="18"/>
    </row>
    <row r="146" ht="44.25" spans="1:31">
      <c r="A146">
        <v>2012</v>
      </c>
      <c r="B146" s="3">
        <v>46023</v>
      </c>
      <c r="C146" s="4" t="s">
        <v>993</v>
      </c>
      <c r="D146" s="4" t="s">
        <v>994</v>
      </c>
      <c r="E146" s="4" t="s">
        <v>995</v>
      </c>
      <c r="F146" s="4" t="s">
        <v>996</v>
      </c>
      <c r="G146" s="6" t="s">
        <v>997</v>
      </c>
      <c r="H146" s="4" t="str">
        <f t="shared" si="10"/>
        <v>86.12</v>
      </c>
      <c r="I146" s="3">
        <v>46023</v>
      </c>
      <c r="J146" s="6">
        <v>428</v>
      </c>
      <c r="K146" s="6">
        <v>578.4</v>
      </c>
      <c r="L146" s="6" t="s">
        <v>998</v>
      </c>
      <c r="M146" s="6" t="s">
        <v>999</v>
      </c>
      <c r="N146" s="6" t="s">
        <v>106</v>
      </c>
      <c r="O146" s="4">
        <v>393.12</v>
      </c>
      <c r="P146" s="4">
        <v>10.25</v>
      </c>
      <c r="Q146" s="4">
        <v>45.2</v>
      </c>
      <c r="R146" s="4">
        <v>3.45</v>
      </c>
      <c r="S146" s="4">
        <v>4.88</v>
      </c>
      <c r="T146">
        <f t="shared" si="11"/>
        <v>14.98</v>
      </c>
      <c r="U146" s="18">
        <v>72.5</v>
      </c>
      <c r="V146" s="18">
        <f t="shared" si="12"/>
        <v>158.62</v>
      </c>
      <c r="W146" s="18">
        <f t="shared" si="13"/>
        <v>19.83</v>
      </c>
      <c r="X146" s="18">
        <f t="shared" si="14"/>
        <v>1006.4</v>
      </c>
      <c r="Y146" s="18"/>
      <c r="Z146" s="18"/>
    </row>
    <row r="147" ht="29.25" spans="1:31">
      <c r="A147">
        <v>2012</v>
      </c>
      <c r="B147" s="3">
        <v>46054</v>
      </c>
      <c r="C147" s="4" t="s">
        <v>1000</v>
      </c>
      <c r="D147" s="4" t="s">
        <v>1001</v>
      </c>
      <c r="E147" s="4" t="s">
        <v>1002</v>
      </c>
      <c r="F147" s="4" t="s">
        <v>1003</v>
      </c>
      <c r="G147" s="4" t="s">
        <v>1004</v>
      </c>
      <c r="H147" s="4" t="str">
        <f t="shared" si="10"/>
        <v>85.80</v>
      </c>
      <c r="I147" s="3">
        <v>46054</v>
      </c>
      <c r="J147" s="6">
        <v>432</v>
      </c>
      <c r="K147" s="4">
        <v>565.2</v>
      </c>
      <c r="L147" s="4" t="s">
        <v>1005</v>
      </c>
      <c r="M147" s="4" t="s">
        <v>1006</v>
      </c>
      <c r="N147" s="4" t="s">
        <v>114</v>
      </c>
      <c r="O147" s="4">
        <v>394.16</v>
      </c>
      <c r="P147" s="4">
        <v>10.31</v>
      </c>
      <c r="Q147" s="4">
        <v>48.6</v>
      </c>
      <c r="R147" s="4">
        <v>3.62</v>
      </c>
      <c r="S147" s="4">
        <v>5.05</v>
      </c>
      <c r="T147">
        <f t="shared" si="11"/>
        <v>14.53</v>
      </c>
      <c r="U147" s="18">
        <v>73</v>
      </c>
      <c r="V147" s="18">
        <f t="shared" si="12"/>
        <v>158.8</v>
      </c>
      <c r="W147" s="18">
        <f t="shared" si="13"/>
        <v>19.5</v>
      </c>
      <c r="X147" s="18">
        <f t="shared" si="14"/>
        <v>997.2</v>
      </c>
      <c r="Y147" s="18"/>
      <c r="Z147" s="18"/>
    </row>
    <row r="148" ht="29.25" spans="1:31">
      <c r="A148">
        <v>2012</v>
      </c>
      <c r="B148" s="3">
        <v>46082</v>
      </c>
      <c r="C148" s="4" t="s">
        <v>1007</v>
      </c>
      <c r="D148" s="6" t="s">
        <v>1008</v>
      </c>
      <c r="E148" s="6" t="s">
        <v>1009</v>
      </c>
      <c r="F148" s="4" t="s">
        <v>1010</v>
      </c>
      <c r="G148" s="4" t="s">
        <v>1011</v>
      </c>
      <c r="H148" s="4" t="str">
        <f t="shared" si="10"/>
        <v>83.45</v>
      </c>
      <c r="I148" s="3">
        <v>46082</v>
      </c>
      <c r="J148" s="6">
        <v>425</v>
      </c>
      <c r="K148" s="4">
        <v>542.8</v>
      </c>
      <c r="L148" s="4" t="s">
        <v>1012</v>
      </c>
      <c r="M148" s="6" t="s">
        <v>1013</v>
      </c>
      <c r="N148" s="4" t="s">
        <v>50</v>
      </c>
      <c r="O148" s="4">
        <v>394.85</v>
      </c>
      <c r="P148" s="4">
        <v>10.44</v>
      </c>
      <c r="Q148" s="6">
        <v>62.4</v>
      </c>
      <c r="R148" s="4">
        <v>4.12</v>
      </c>
      <c r="S148" s="4">
        <v>4.65</v>
      </c>
      <c r="T148">
        <f t="shared" si="11"/>
        <v>2.08</v>
      </c>
      <c r="U148" s="18">
        <v>85.5</v>
      </c>
      <c r="V148" s="18">
        <f t="shared" si="12"/>
        <v>168.95</v>
      </c>
      <c r="W148" s="18">
        <f t="shared" si="13"/>
        <v>17.14</v>
      </c>
      <c r="X148" s="18">
        <f t="shared" si="14"/>
        <v>967.8</v>
      </c>
      <c r="Y148" s="18"/>
      <c r="Z148" s="18"/>
    </row>
    <row r="149" ht="29.25" spans="1:31">
      <c r="A149">
        <v>2012</v>
      </c>
      <c r="B149" s="3">
        <v>46113</v>
      </c>
      <c r="C149" s="4" t="s">
        <v>1014</v>
      </c>
      <c r="D149" s="4" t="s">
        <v>1015</v>
      </c>
      <c r="E149" s="4" t="s">
        <v>1016</v>
      </c>
      <c r="F149" s="4" t="s">
        <v>1017</v>
      </c>
      <c r="G149" s="4" t="s">
        <v>1018</v>
      </c>
      <c r="H149" s="4" t="str">
        <f t="shared" si="10"/>
        <v>80.90</v>
      </c>
      <c r="I149" s="3">
        <v>46113</v>
      </c>
      <c r="J149" s="6">
        <v>418</v>
      </c>
      <c r="K149" s="4">
        <v>515.6</v>
      </c>
      <c r="L149" s="4" t="s">
        <v>1019</v>
      </c>
      <c r="M149" s="4" t="s">
        <v>1020</v>
      </c>
      <c r="N149" s="4" t="s">
        <v>66</v>
      </c>
      <c r="O149" s="4">
        <v>396.18</v>
      </c>
      <c r="P149" s="4">
        <v>10.62</v>
      </c>
      <c r="Q149" s="4">
        <v>58.5</v>
      </c>
      <c r="R149" s="4">
        <v>4.85</v>
      </c>
      <c r="S149" s="4">
        <v>3.82</v>
      </c>
      <c r="T149">
        <f t="shared" si="11"/>
        <v>11.12</v>
      </c>
      <c r="U149" s="18">
        <v>76.5</v>
      </c>
      <c r="V149" s="18">
        <f t="shared" si="12"/>
        <v>157.4</v>
      </c>
      <c r="W149" s="18">
        <f t="shared" si="13"/>
        <v>14.57</v>
      </c>
      <c r="X149" s="18">
        <f t="shared" si="14"/>
        <v>933.6</v>
      </c>
      <c r="Y149" s="18"/>
      <c r="Z149" s="18"/>
    </row>
    <row r="150" ht="29.25" spans="1:31">
      <c r="A150">
        <v>2012</v>
      </c>
      <c r="B150" s="3">
        <v>46143</v>
      </c>
      <c r="C150" s="4" t="s">
        <v>1021</v>
      </c>
      <c r="D150" s="4" t="s">
        <v>1022</v>
      </c>
      <c r="E150" s="4" t="s">
        <v>1023</v>
      </c>
      <c r="F150" s="4" t="s">
        <v>1024</v>
      </c>
      <c r="G150" s="4" t="s">
        <v>1025</v>
      </c>
      <c r="H150" s="4" t="str">
        <f t="shared" si="10"/>
        <v>77.12</v>
      </c>
      <c r="I150" s="3">
        <v>46143</v>
      </c>
      <c r="J150" s="6">
        <v>410</v>
      </c>
      <c r="K150" s="4">
        <v>488.2</v>
      </c>
      <c r="L150" s="4" t="s">
        <v>1026</v>
      </c>
      <c r="M150" s="4" t="s">
        <v>932</v>
      </c>
      <c r="N150" s="6" t="s">
        <v>168</v>
      </c>
      <c r="O150" s="6">
        <v>396.78</v>
      </c>
      <c r="P150" s="4">
        <v>10.81</v>
      </c>
      <c r="Q150" s="4">
        <v>56.2</v>
      </c>
      <c r="R150" s="4">
        <v>5.58</v>
      </c>
      <c r="S150" s="4">
        <v>2.95</v>
      </c>
      <c r="T150">
        <f t="shared" si="11"/>
        <v>9.17</v>
      </c>
      <c r="U150" s="18">
        <v>78.5</v>
      </c>
      <c r="V150" s="18">
        <f t="shared" si="12"/>
        <v>155.62</v>
      </c>
      <c r="W150" s="18">
        <f t="shared" si="13"/>
        <v>10.78</v>
      </c>
      <c r="X150" s="18">
        <f t="shared" si="14"/>
        <v>898.2</v>
      </c>
      <c r="Y150" s="18"/>
      <c r="Z150" s="18"/>
    </row>
    <row r="151" ht="30.75" spans="1:31">
      <c r="A151">
        <v>2012</v>
      </c>
      <c r="B151" s="3">
        <v>46174</v>
      </c>
      <c r="C151" s="4" t="s">
        <v>1027</v>
      </c>
      <c r="D151" s="4" t="s">
        <v>1028</v>
      </c>
      <c r="E151" s="4" t="s">
        <v>1029</v>
      </c>
      <c r="F151" s="4" t="s">
        <v>1030</v>
      </c>
      <c r="G151" s="4" t="s">
        <v>1031</v>
      </c>
      <c r="H151" s="4" t="str">
        <f t="shared" si="10"/>
        <v>75.85</v>
      </c>
      <c r="I151" s="3">
        <v>46174</v>
      </c>
      <c r="J151" s="6">
        <v>402</v>
      </c>
      <c r="K151" s="4">
        <v>462.5</v>
      </c>
      <c r="L151" s="6" t="s">
        <v>1032</v>
      </c>
      <c r="M151" s="4" t="s">
        <v>977</v>
      </c>
      <c r="N151" s="4" t="s">
        <v>145</v>
      </c>
      <c r="O151" s="4">
        <v>396.18</v>
      </c>
      <c r="P151" s="4">
        <v>10.98</v>
      </c>
      <c r="Q151" s="4">
        <v>50.8</v>
      </c>
      <c r="R151" s="4">
        <v>6.42</v>
      </c>
      <c r="S151" s="4">
        <v>2.15</v>
      </c>
      <c r="T151">
        <f t="shared" si="11"/>
        <v>6.92</v>
      </c>
      <c r="U151" s="18">
        <v>80.8</v>
      </c>
      <c r="V151" s="18">
        <f t="shared" si="12"/>
        <v>156.65</v>
      </c>
      <c r="W151" s="18">
        <f t="shared" si="13"/>
        <v>9.5</v>
      </c>
      <c r="X151" s="18">
        <f t="shared" si="14"/>
        <v>864.5</v>
      </c>
      <c r="Y151" s="18"/>
      <c r="Z151" s="18"/>
    </row>
    <row r="152" ht="30" spans="1:31">
      <c r="A152">
        <v>2012</v>
      </c>
      <c r="B152" s="3">
        <v>46204</v>
      </c>
      <c r="C152" s="4" t="s">
        <v>1033</v>
      </c>
      <c r="D152" s="6" t="s">
        <v>1034</v>
      </c>
      <c r="E152" s="6" t="s">
        <v>1035</v>
      </c>
      <c r="F152" s="4" t="s">
        <v>1036</v>
      </c>
      <c r="G152" s="6" t="s">
        <v>1037</v>
      </c>
      <c r="H152" s="4" t="str">
        <f t="shared" si="10"/>
        <v>74.10</v>
      </c>
      <c r="I152" s="3">
        <v>46204</v>
      </c>
      <c r="J152" s="6">
        <v>395</v>
      </c>
      <c r="K152" s="6">
        <v>451.8</v>
      </c>
      <c r="L152" s="6" t="s">
        <v>1038</v>
      </c>
      <c r="M152" s="4" t="s">
        <v>257</v>
      </c>
      <c r="N152" s="4" t="s">
        <v>74</v>
      </c>
      <c r="O152" s="4">
        <v>394.39</v>
      </c>
      <c r="P152" s="6">
        <v>11.16</v>
      </c>
      <c r="Q152" s="4">
        <v>48.5</v>
      </c>
      <c r="R152" s="6">
        <v>7.05</v>
      </c>
      <c r="S152" s="6">
        <v>1.82</v>
      </c>
      <c r="T152">
        <f t="shared" si="11"/>
        <v>0.960000000000008</v>
      </c>
      <c r="U152" s="18">
        <v>86.8</v>
      </c>
      <c r="V152" s="18">
        <f t="shared" si="12"/>
        <v>160.9</v>
      </c>
      <c r="W152" s="18">
        <f t="shared" si="13"/>
        <v>7.73999999999999</v>
      </c>
      <c r="X152" s="18">
        <f t="shared" si="14"/>
        <v>846.8</v>
      </c>
      <c r="Y152" s="18"/>
      <c r="Z152" s="18"/>
    </row>
    <row r="153" ht="29.25" spans="1:31">
      <c r="A153">
        <v>2012</v>
      </c>
      <c r="B153" s="3">
        <v>46235</v>
      </c>
      <c r="C153" s="4" t="s">
        <v>1039</v>
      </c>
      <c r="D153" s="4" t="s">
        <v>1040</v>
      </c>
      <c r="E153" s="4" t="s">
        <v>1041</v>
      </c>
      <c r="F153" s="4" t="s">
        <v>1042</v>
      </c>
      <c r="G153" s="4" t="s">
        <v>1043</v>
      </c>
      <c r="H153" s="4" t="str">
        <f t="shared" si="10"/>
        <v>76.35</v>
      </c>
      <c r="I153" s="3">
        <v>46235</v>
      </c>
      <c r="J153" s="6">
        <v>398</v>
      </c>
      <c r="K153" s="4">
        <v>460.4</v>
      </c>
      <c r="L153" s="4" t="s">
        <v>1044</v>
      </c>
      <c r="M153" s="6" t="s">
        <v>1045</v>
      </c>
      <c r="N153" s="4" t="s">
        <v>50</v>
      </c>
      <c r="O153" s="4">
        <v>392.41</v>
      </c>
      <c r="P153" s="6">
        <v>11.23</v>
      </c>
      <c r="Q153" s="4">
        <v>52.1</v>
      </c>
      <c r="R153" s="4">
        <v>6.25</v>
      </c>
      <c r="S153" s="4">
        <v>1.98</v>
      </c>
      <c r="T153">
        <f t="shared" si="11"/>
        <v>5.61</v>
      </c>
      <c r="U153" s="18">
        <v>82.2</v>
      </c>
      <c r="V153" s="18">
        <f t="shared" si="12"/>
        <v>158.55</v>
      </c>
      <c r="W153" s="18">
        <f t="shared" si="13"/>
        <v>9.97</v>
      </c>
      <c r="X153" s="18">
        <f t="shared" si="14"/>
        <v>858.4</v>
      </c>
      <c r="Y153" s="18"/>
      <c r="Z153" s="18"/>
    </row>
    <row r="154" ht="29.25" spans="1:31">
      <c r="A154">
        <v>2012</v>
      </c>
      <c r="B154" s="3">
        <v>46266</v>
      </c>
      <c r="C154" s="4" t="s">
        <v>1046</v>
      </c>
      <c r="D154" s="4" t="s">
        <v>1047</v>
      </c>
      <c r="E154" s="4" t="s">
        <v>966</v>
      </c>
      <c r="F154" s="4" t="s">
        <v>1048</v>
      </c>
      <c r="G154" s="4" t="s">
        <v>1049</v>
      </c>
      <c r="H154" s="4" t="str">
        <f t="shared" si="10"/>
        <v>80.20</v>
      </c>
      <c r="I154" s="3">
        <v>46266</v>
      </c>
      <c r="J154" s="6">
        <v>405</v>
      </c>
      <c r="K154" s="4">
        <v>488.7</v>
      </c>
      <c r="L154" s="4" t="s">
        <v>1050</v>
      </c>
      <c r="M154" s="4" t="s">
        <v>264</v>
      </c>
      <c r="N154" s="4" t="s">
        <v>58</v>
      </c>
      <c r="O154" s="4">
        <v>391.01</v>
      </c>
      <c r="P154" s="4">
        <v>10.95</v>
      </c>
      <c r="Q154" s="4">
        <v>58.6</v>
      </c>
      <c r="R154" s="4">
        <v>5.12</v>
      </c>
      <c r="S154" s="4">
        <v>3.12</v>
      </c>
      <c r="T154">
        <f t="shared" si="11"/>
        <v>8.66</v>
      </c>
      <c r="U154" s="18">
        <v>79.2</v>
      </c>
      <c r="V154" s="18">
        <f t="shared" si="12"/>
        <v>159.4</v>
      </c>
      <c r="W154" s="18">
        <f t="shared" si="13"/>
        <v>13.81</v>
      </c>
      <c r="X154" s="18">
        <f t="shared" si="14"/>
        <v>893.7</v>
      </c>
      <c r="Y154" s="18"/>
      <c r="Z154" s="18"/>
    </row>
    <row r="155" ht="29.25" spans="1:31">
      <c r="A155">
        <v>2012</v>
      </c>
      <c r="B155" s="3">
        <v>46296</v>
      </c>
      <c r="C155" s="4" t="s">
        <v>1051</v>
      </c>
      <c r="D155" s="4" t="s">
        <v>1052</v>
      </c>
      <c r="E155" s="4" t="s">
        <v>1053</v>
      </c>
      <c r="F155" s="4" t="s">
        <v>1054</v>
      </c>
      <c r="G155" s="4" t="s">
        <v>1055</v>
      </c>
      <c r="H155" s="4" t="str">
        <f t="shared" si="10"/>
        <v>84.15</v>
      </c>
      <c r="I155" s="3">
        <v>46296</v>
      </c>
      <c r="J155" s="6">
        <v>415</v>
      </c>
      <c r="K155" s="4">
        <v>525.6</v>
      </c>
      <c r="L155" s="4" t="s">
        <v>1056</v>
      </c>
      <c r="M155" s="4" t="s">
        <v>1057</v>
      </c>
      <c r="N155" s="4" t="s">
        <v>212</v>
      </c>
      <c r="O155" s="4">
        <v>391.38</v>
      </c>
      <c r="P155" s="4">
        <v>10.64</v>
      </c>
      <c r="Q155" s="6">
        <v>74.2</v>
      </c>
      <c r="R155" s="4">
        <v>4.45</v>
      </c>
      <c r="S155" s="4">
        <v>4.28</v>
      </c>
      <c r="T155">
        <f t="shared" si="11"/>
        <v>10.4</v>
      </c>
      <c r="U155" s="18">
        <v>77.5</v>
      </c>
      <c r="V155" s="18">
        <f t="shared" si="12"/>
        <v>161.65</v>
      </c>
      <c r="W155" s="18">
        <f t="shared" si="13"/>
        <v>17.75</v>
      </c>
      <c r="X155" s="18">
        <f t="shared" si="14"/>
        <v>940.6</v>
      </c>
      <c r="Y155" s="18"/>
      <c r="Z155" s="18"/>
    </row>
    <row r="156" ht="30" spans="1:31">
      <c r="A156">
        <v>2012</v>
      </c>
      <c r="B156" s="3">
        <v>46327</v>
      </c>
      <c r="C156" s="4" t="s">
        <v>1058</v>
      </c>
      <c r="D156" s="4" t="s">
        <v>1059</v>
      </c>
      <c r="E156" s="4" t="s">
        <v>1060</v>
      </c>
      <c r="F156" s="4" t="s">
        <v>1061</v>
      </c>
      <c r="G156" s="6" t="s">
        <v>1062</v>
      </c>
      <c r="H156" s="4" t="str">
        <f t="shared" si="10"/>
        <v>87.90</v>
      </c>
      <c r="I156" s="3">
        <v>46327</v>
      </c>
      <c r="J156" s="6">
        <v>422</v>
      </c>
      <c r="K156" s="4">
        <v>562.3</v>
      </c>
      <c r="L156" s="4" t="s">
        <v>1063</v>
      </c>
      <c r="M156" s="4" t="s">
        <v>1064</v>
      </c>
      <c r="N156" s="4" t="s">
        <v>220</v>
      </c>
      <c r="O156" s="4">
        <v>392.91</v>
      </c>
      <c r="P156" s="4">
        <v>10.48</v>
      </c>
      <c r="Q156" s="6">
        <v>78.5</v>
      </c>
      <c r="R156" s="4">
        <v>3.88</v>
      </c>
      <c r="S156" s="4">
        <v>4.95</v>
      </c>
      <c r="T156">
        <f t="shared" si="11"/>
        <v>12.15</v>
      </c>
      <c r="U156" s="18">
        <v>75.8</v>
      </c>
      <c r="V156" s="18">
        <f t="shared" si="12"/>
        <v>163.7</v>
      </c>
      <c r="W156" s="18">
        <f t="shared" si="13"/>
        <v>21.49</v>
      </c>
      <c r="X156" s="18">
        <f t="shared" si="14"/>
        <v>984.3</v>
      </c>
      <c r="Y156" s="18"/>
      <c r="Z156" s="18"/>
    </row>
    <row r="157" ht="30" spans="1:31">
      <c r="A157">
        <v>2012</v>
      </c>
      <c r="B157" s="3">
        <v>46357</v>
      </c>
      <c r="C157" s="4" t="s">
        <v>1065</v>
      </c>
      <c r="D157" s="4" t="s">
        <v>1066</v>
      </c>
      <c r="E157" s="6" t="s">
        <v>1067</v>
      </c>
      <c r="F157" s="4" t="s">
        <v>1068</v>
      </c>
      <c r="G157" s="6" t="s">
        <v>1069</v>
      </c>
      <c r="H157" s="4" t="str">
        <f t="shared" si="10"/>
        <v>88.65</v>
      </c>
      <c r="I157" s="3">
        <v>46357</v>
      </c>
      <c r="J157" s="6">
        <v>430</v>
      </c>
      <c r="K157" s="6">
        <v>588.5</v>
      </c>
      <c r="L157" s="4" t="s">
        <v>1070</v>
      </c>
      <c r="M157" s="6" t="s">
        <v>1071</v>
      </c>
      <c r="N157" s="6" t="s">
        <v>122</v>
      </c>
      <c r="O157" s="4">
        <v>394.28</v>
      </c>
      <c r="P157" s="4">
        <v>10.38</v>
      </c>
      <c r="Q157" s="4">
        <v>62.1</v>
      </c>
      <c r="R157" s="4">
        <v>3.65</v>
      </c>
      <c r="S157" s="4">
        <v>5.25</v>
      </c>
      <c r="T157">
        <f t="shared" si="11"/>
        <v>14</v>
      </c>
      <c r="U157" s="18">
        <v>74</v>
      </c>
      <c r="V157" s="18">
        <f t="shared" si="12"/>
        <v>162.65</v>
      </c>
      <c r="W157" s="18">
        <f t="shared" si="13"/>
        <v>22.22</v>
      </c>
      <c r="X157" s="18">
        <f t="shared" si="14"/>
        <v>1018.5</v>
      </c>
      <c r="Y157" s="18">
        <f>AVERAGE(X146:X157)</f>
        <v>934.166666666667</v>
      </c>
      <c r="Z157" s="18">
        <f>AVERAGE(W146:W148)</f>
        <v>18.8233333333333</v>
      </c>
      <c r="AA157">
        <f>(SUM(U146:U157)-SUM(U152:U154))/9</f>
        <v>77.1222222222222</v>
      </c>
      <c r="AB157">
        <f>AVERAGE(T146:T157)</f>
        <v>9.215</v>
      </c>
      <c r="AC157">
        <f>(SUM(T146:T157)-T148-T152)/10</f>
        <v>10.754</v>
      </c>
      <c r="AD157">
        <f>AVERAGE(T146:T147)</f>
        <v>14.755</v>
      </c>
      <c r="AE157">
        <f>AVERAGE(V146:V157)</f>
        <v>160.240833333333</v>
      </c>
    </row>
    <row r="158" ht="60.75" spans="1:31">
      <c r="B158" s="6" t="s">
        <v>1072</v>
      </c>
      <c r="C158" s="6" t="s">
        <v>396</v>
      </c>
      <c r="D158" s="6" t="s">
        <v>8</v>
      </c>
      <c r="E158" s="6" t="s">
        <v>124</v>
      </c>
      <c r="F158" s="6" t="s">
        <v>10</v>
      </c>
      <c r="G158" s="6" t="s">
        <v>125</v>
      </c>
      <c r="H158" s="4" t="str">
        <f t="shared" si="10"/>
        <v>650 氢</v>
      </c>
      <c r="I158" s="6" t="s">
        <v>1072</v>
      </c>
      <c r="J158" s="6" t="s">
        <v>126</v>
      </c>
      <c r="K158" s="6" t="s">
        <v>126</v>
      </c>
      <c r="L158" s="6" t="s">
        <v>127</v>
      </c>
      <c r="M158" s="6" t="s">
        <v>15</v>
      </c>
      <c r="N158" s="6" t="s">
        <v>16</v>
      </c>
      <c r="O158" s="6" t="s">
        <v>17</v>
      </c>
      <c r="P158" s="6" t="s">
        <v>18</v>
      </c>
      <c r="Q158" s="6" t="s">
        <v>19</v>
      </c>
      <c r="R158" s="6" t="s">
        <v>128</v>
      </c>
      <c r="S158" s="6" t="s">
        <v>21</v>
      </c>
      <c r="T158" t="e">
        <f t="shared" si="11"/>
        <v>#VALUE!</v>
      </c>
      <c r="U158" s="19" t="s">
        <v>129</v>
      </c>
      <c r="V158" s="18" t="e">
        <f t="shared" si="12"/>
        <v>#VALUE!</v>
      </c>
      <c r="W158" s="18" t="e">
        <f t="shared" si="13"/>
        <v>#VALUE!</v>
      </c>
      <c r="X158" s="18">
        <f t="shared" si="14"/>
        <v>0</v>
      </c>
      <c r="Y158" s="18"/>
      <c r="Z158" s="18"/>
    </row>
    <row r="159" ht="45.75" spans="1:31">
      <c r="A159">
        <v>2013</v>
      </c>
      <c r="B159" s="3">
        <v>46023</v>
      </c>
      <c r="C159" s="4" t="s">
        <v>1073</v>
      </c>
      <c r="D159" s="4" t="s">
        <v>1074</v>
      </c>
      <c r="E159" s="4" t="s">
        <v>1075</v>
      </c>
      <c r="F159" s="4" t="s">
        <v>1076</v>
      </c>
      <c r="G159" s="6" t="s">
        <v>1077</v>
      </c>
      <c r="H159" s="4" t="str">
        <f t="shared" si="10"/>
        <v>87.95</v>
      </c>
      <c r="I159" s="3">
        <v>46023</v>
      </c>
      <c r="J159" s="6">
        <v>445</v>
      </c>
      <c r="K159" s="6">
        <v>594.2</v>
      </c>
      <c r="L159" s="6" t="s">
        <v>1078</v>
      </c>
      <c r="M159" s="6" t="s">
        <v>285</v>
      </c>
      <c r="N159" s="6" t="s">
        <v>74</v>
      </c>
      <c r="O159" s="4">
        <v>395.11</v>
      </c>
      <c r="P159" s="4">
        <v>10.32</v>
      </c>
      <c r="Q159" s="4">
        <v>40.5</v>
      </c>
      <c r="R159" s="4">
        <v>3.55</v>
      </c>
      <c r="S159" s="4">
        <v>5.15</v>
      </c>
      <c r="T159">
        <f t="shared" si="11"/>
        <v>15.24</v>
      </c>
      <c r="U159" s="18">
        <v>72.8</v>
      </c>
      <c r="V159" s="18">
        <f t="shared" si="12"/>
        <v>160.75</v>
      </c>
      <c r="W159" s="18">
        <f t="shared" si="13"/>
        <v>21.51</v>
      </c>
      <c r="X159" s="18">
        <f t="shared" si="14"/>
        <v>1039.2</v>
      </c>
      <c r="Y159" s="18"/>
      <c r="Z159" s="18"/>
    </row>
    <row r="160" ht="42" spans="1:31">
      <c r="A160">
        <v>2013</v>
      </c>
      <c r="B160" s="3">
        <v>46054</v>
      </c>
      <c r="C160" s="4" t="s">
        <v>1079</v>
      </c>
      <c r="D160" s="4" t="s">
        <v>1080</v>
      </c>
      <c r="E160" s="4" t="s">
        <v>1081</v>
      </c>
      <c r="F160" s="4" t="s">
        <v>1082</v>
      </c>
      <c r="G160" s="4" t="s">
        <v>1083</v>
      </c>
      <c r="H160" s="4" t="str">
        <f t="shared" si="10"/>
        <v>87.10</v>
      </c>
      <c r="I160" s="3">
        <v>46054</v>
      </c>
      <c r="J160" s="6">
        <v>448</v>
      </c>
      <c r="K160" s="4">
        <v>582.6</v>
      </c>
      <c r="L160" s="4" t="s">
        <v>1084</v>
      </c>
      <c r="M160" s="4" t="s">
        <v>1085</v>
      </c>
      <c r="N160" s="4" t="s">
        <v>66</v>
      </c>
      <c r="O160" s="4">
        <v>396.16</v>
      </c>
      <c r="P160" s="4">
        <v>10.38</v>
      </c>
      <c r="Q160" s="4">
        <v>42.8</v>
      </c>
      <c r="R160" s="4">
        <v>3.72</v>
      </c>
      <c r="S160" s="4">
        <v>4.88</v>
      </c>
      <c r="T160">
        <f t="shared" si="11"/>
        <v>14.59</v>
      </c>
      <c r="U160" s="18">
        <v>73.5</v>
      </c>
      <c r="V160" s="18">
        <f t="shared" si="12"/>
        <v>160.6</v>
      </c>
      <c r="W160" s="18">
        <f t="shared" si="13"/>
        <v>20.65</v>
      </c>
      <c r="X160" s="18">
        <f t="shared" si="14"/>
        <v>1030.6</v>
      </c>
      <c r="Y160" s="18"/>
      <c r="Z160" s="18"/>
    </row>
    <row r="161" ht="29.25" spans="1:31">
      <c r="A161">
        <v>2013</v>
      </c>
      <c r="B161" s="3">
        <v>46082</v>
      </c>
      <c r="C161" s="4" t="s">
        <v>1086</v>
      </c>
      <c r="D161" s="4" t="s">
        <v>1087</v>
      </c>
      <c r="E161" s="4" t="s">
        <v>1088</v>
      </c>
      <c r="F161" s="4" t="s">
        <v>1089</v>
      </c>
      <c r="G161" s="4" t="s">
        <v>1090</v>
      </c>
      <c r="H161" s="4" t="str">
        <f t="shared" si="10"/>
        <v>85.35</v>
      </c>
      <c r="I161" s="3">
        <v>46082</v>
      </c>
      <c r="J161" s="6">
        <v>440</v>
      </c>
      <c r="K161" s="4">
        <v>565.8</v>
      </c>
      <c r="L161" s="4" t="s">
        <v>1091</v>
      </c>
      <c r="M161" s="4" t="s">
        <v>271</v>
      </c>
      <c r="N161" s="4" t="s">
        <v>145</v>
      </c>
      <c r="O161" s="4">
        <v>396.81</v>
      </c>
      <c r="P161" s="4">
        <v>10.51</v>
      </c>
      <c r="Q161" s="4">
        <v>52.4</v>
      </c>
      <c r="R161" s="4">
        <v>4.25</v>
      </c>
      <c r="S161" s="4">
        <v>4.42</v>
      </c>
      <c r="T161">
        <f t="shared" si="11"/>
        <v>13.13</v>
      </c>
      <c r="U161" s="18">
        <v>75</v>
      </c>
      <c r="V161" s="18">
        <f t="shared" si="12"/>
        <v>160.35</v>
      </c>
      <c r="W161" s="18">
        <f t="shared" si="13"/>
        <v>18.89</v>
      </c>
      <c r="X161" s="18">
        <f t="shared" si="14"/>
        <v>1005.8</v>
      </c>
      <c r="Y161" s="18"/>
      <c r="Z161" s="18"/>
    </row>
    <row r="162" ht="29.25" spans="1:31">
      <c r="A162">
        <v>2013</v>
      </c>
      <c r="B162" s="3">
        <v>46113</v>
      </c>
      <c r="C162" s="4" t="s">
        <v>1092</v>
      </c>
      <c r="D162" s="4" t="s">
        <v>1093</v>
      </c>
      <c r="E162" s="4" t="s">
        <v>1094</v>
      </c>
      <c r="F162" s="4" t="s">
        <v>1095</v>
      </c>
      <c r="G162" s="4" t="s">
        <v>1096</v>
      </c>
      <c r="H162" s="4" t="str">
        <f t="shared" si="10"/>
        <v>82.12</v>
      </c>
      <c r="I162" s="3">
        <v>46113</v>
      </c>
      <c r="J162" s="6">
        <v>435</v>
      </c>
      <c r="K162" s="4">
        <v>538.2</v>
      </c>
      <c r="L162" s="4" t="s">
        <v>1097</v>
      </c>
      <c r="M162" s="4" t="s">
        <v>1098</v>
      </c>
      <c r="N162" s="4" t="s">
        <v>58</v>
      </c>
      <c r="O162" s="4">
        <v>398.34</v>
      </c>
      <c r="P162" s="4">
        <v>10.68</v>
      </c>
      <c r="Q162" s="4">
        <v>55.6</v>
      </c>
      <c r="R162" s="4">
        <v>4.92</v>
      </c>
      <c r="S162" s="4">
        <v>3.58</v>
      </c>
      <c r="T162">
        <f t="shared" si="11"/>
        <v>11.38</v>
      </c>
      <c r="U162" s="18">
        <v>76.8</v>
      </c>
      <c r="V162" s="18">
        <f t="shared" si="12"/>
        <v>158.92</v>
      </c>
      <c r="W162" s="18">
        <f t="shared" si="13"/>
        <v>15.64</v>
      </c>
      <c r="X162" s="18">
        <f t="shared" si="14"/>
        <v>973.2</v>
      </c>
      <c r="Y162" s="18"/>
      <c r="Z162" s="18"/>
    </row>
    <row r="163" ht="29.25" spans="1:31">
      <c r="A163">
        <v>2013</v>
      </c>
      <c r="B163" s="3">
        <v>46143</v>
      </c>
      <c r="C163" s="4" t="s">
        <v>1099</v>
      </c>
      <c r="D163" s="6" t="s">
        <v>1100</v>
      </c>
      <c r="E163" s="6" t="s">
        <v>1101</v>
      </c>
      <c r="F163" s="4" t="s">
        <v>1102</v>
      </c>
      <c r="G163" s="4" t="s">
        <v>1103</v>
      </c>
      <c r="H163" s="4" t="str">
        <f t="shared" si="10"/>
        <v>78.45</v>
      </c>
      <c r="I163" s="3">
        <v>46143</v>
      </c>
      <c r="J163" s="6">
        <v>422</v>
      </c>
      <c r="K163" s="4">
        <v>512.7</v>
      </c>
      <c r="L163" s="4" t="s">
        <v>1104</v>
      </c>
      <c r="M163" s="6" t="s">
        <v>932</v>
      </c>
      <c r="N163" s="4" t="s">
        <v>212</v>
      </c>
      <c r="O163" s="6">
        <v>399.28</v>
      </c>
      <c r="P163" s="4">
        <v>10.88</v>
      </c>
      <c r="Q163" s="4">
        <v>51.2</v>
      </c>
      <c r="R163" s="4">
        <v>5.65</v>
      </c>
      <c r="S163" s="4">
        <v>2.82</v>
      </c>
      <c r="T163">
        <f t="shared" si="11"/>
        <v>1.73</v>
      </c>
      <c r="U163" s="18">
        <v>86.5</v>
      </c>
      <c r="V163" s="18">
        <f t="shared" si="12"/>
        <v>164.95</v>
      </c>
      <c r="W163" s="18">
        <f t="shared" si="13"/>
        <v>11.96</v>
      </c>
      <c r="X163" s="18">
        <f t="shared" si="14"/>
        <v>934.7</v>
      </c>
      <c r="Y163" s="18"/>
      <c r="Z163" s="18"/>
    </row>
    <row r="164" ht="29.25" spans="1:31">
      <c r="A164">
        <v>2013</v>
      </c>
      <c r="B164" s="3">
        <v>46174</v>
      </c>
      <c r="C164" s="4" t="s">
        <v>1105</v>
      </c>
      <c r="D164" s="4" t="s">
        <v>1106</v>
      </c>
      <c r="E164" s="4" t="s">
        <v>1107</v>
      </c>
      <c r="F164" s="4" t="s">
        <v>1108</v>
      </c>
      <c r="G164" s="4" t="s">
        <v>1109</v>
      </c>
      <c r="H164" s="4" t="str">
        <f t="shared" si="10"/>
        <v>76.10</v>
      </c>
      <c r="I164" s="3">
        <v>46174</v>
      </c>
      <c r="J164" s="6">
        <v>412</v>
      </c>
      <c r="K164" s="4">
        <v>485.4</v>
      </c>
      <c r="L164" s="6" t="s">
        <v>1110</v>
      </c>
      <c r="M164" s="4" t="s">
        <v>999</v>
      </c>
      <c r="N164" s="4" t="s">
        <v>220</v>
      </c>
      <c r="O164" s="4">
        <v>398.98</v>
      </c>
      <c r="P164" s="4">
        <v>11.05</v>
      </c>
      <c r="Q164" s="4">
        <v>46.8</v>
      </c>
      <c r="R164" s="4">
        <v>6.55</v>
      </c>
      <c r="S164" s="4">
        <v>2.05</v>
      </c>
      <c r="T164">
        <f t="shared" si="11"/>
        <v>7.06999999999999</v>
      </c>
      <c r="U164" s="18">
        <v>81.2</v>
      </c>
      <c r="V164" s="18">
        <f t="shared" si="12"/>
        <v>157.3</v>
      </c>
      <c r="W164" s="18">
        <f t="shared" si="13"/>
        <v>9.59999999999999</v>
      </c>
      <c r="X164" s="18">
        <f t="shared" si="14"/>
        <v>897.4</v>
      </c>
      <c r="Y164" s="18"/>
      <c r="Z164" s="18"/>
    </row>
    <row r="165" ht="42" spans="1:31">
      <c r="A165">
        <v>2013</v>
      </c>
      <c r="B165" s="3">
        <v>46204</v>
      </c>
      <c r="C165" s="4" t="s">
        <v>1111</v>
      </c>
      <c r="D165" s="4" t="s">
        <v>1112</v>
      </c>
      <c r="E165" s="4" t="s">
        <v>1113</v>
      </c>
      <c r="F165" s="4" t="s">
        <v>1114</v>
      </c>
      <c r="G165" s="6" t="s">
        <v>1115</v>
      </c>
      <c r="H165" s="4" t="str">
        <f t="shared" si="10"/>
        <v>73.80</v>
      </c>
      <c r="I165" s="3">
        <v>46204</v>
      </c>
      <c r="J165" s="6">
        <v>405</v>
      </c>
      <c r="K165" s="6">
        <v>472.1</v>
      </c>
      <c r="L165" s="6" t="s">
        <v>1116</v>
      </c>
      <c r="M165" s="4" t="s">
        <v>1117</v>
      </c>
      <c r="N165" s="4" t="s">
        <v>137</v>
      </c>
      <c r="O165" s="4">
        <v>397.05</v>
      </c>
      <c r="P165" s="6">
        <v>11.22</v>
      </c>
      <c r="Q165" s="4">
        <v>45.4</v>
      </c>
      <c r="R165" s="6">
        <v>7.18</v>
      </c>
      <c r="S165" s="6">
        <v>1.72</v>
      </c>
      <c r="T165">
        <f t="shared" si="11"/>
        <v>4.81999999999999</v>
      </c>
      <c r="U165" s="18">
        <v>83.5</v>
      </c>
      <c r="V165" s="18">
        <f t="shared" si="12"/>
        <v>157.3</v>
      </c>
      <c r="W165" s="18">
        <f t="shared" si="13"/>
        <v>7.28999999999999</v>
      </c>
      <c r="X165" s="18">
        <f t="shared" si="14"/>
        <v>877.1</v>
      </c>
      <c r="Y165" s="18"/>
      <c r="Z165" s="18"/>
    </row>
    <row r="166" ht="29.25" spans="1:31">
      <c r="A166">
        <v>2013</v>
      </c>
      <c r="B166" s="3">
        <v>46235</v>
      </c>
      <c r="C166" s="4" t="s">
        <v>1118</v>
      </c>
      <c r="D166" s="4" t="s">
        <v>1119</v>
      </c>
      <c r="E166" s="4" t="s">
        <v>1120</v>
      </c>
      <c r="F166" s="4" t="s">
        <v>1121</v>
      </c>
      <c r="G166" s="4" t="s">
        <v>1122</v>
      </c>
      <c r="H166" s="4" t="str">
        <f t="shared" si="10"/>
        <v>75.95</v>
      </c>
      <c r="I166" s="3">
        <v>46235</v>
      </c>
      <c r="J166" s="6">
        <v>408</v>
      </c>
      <c r="K166" s="4">
        <v>480.6</v>
      </c>
      <c r="L166" s="4" t="s">
        <v>1123</v>
      </c>
      <c r="M166" s="4" t="s">
        <v>1124</v>
      </c>
      <c r="N166" s="4" t="s">
        <v>176</v>
      </c>
      <c r="O166" s="4">
        <v>394.88</v>
      </c>
      <c r="P166" s="6">
        <v>11.28</v>
      </c>
      <c r="Q166" s="4">
        <v>48.2</v>
      </c>
      <c r="R166" s="4">
        <v>6.42</v>
      </c>
      <c r="S166" s="4">
        <v>1.88</v>
      </c>
      <c r="T166">
        <f t="shared" si="11"/>
        <v>5.56</v>
      </c>
      <c r="U166" s="18">
        <v>82.8</v>
      </c>
      <c r="V166" s="18">
        <f t="shared" si="12"/>
        <v>158.75</v>
      </c>
      <c r="W166" s="18">
        <f t="shared" si="13"/>
        <v>9.42</v>
      </c>
      <c r="X166" s="18">
        <f t="shared" si="14"/>
        <v>888.6</v>
      </c>
      <c r="Y166" s="18"/>
      <c r="Z166" s="18"/>
    </row>
    <row r="167" ht="29.25" spans="1:31">
      <c r="A167">
        <v>2013</v>
      </c>
      <c r="B167" s="3">
        <v>46266</v>
      </c>
      <c r="C167" s="4" t="s">
        <v>1125</v>
      </c>
      <c r="D167" s="4" t="s">
        <v>1126</v>
      </c>
      <c r="E167" s="4" t="s">
        <v>1127</v>
      </c>
      <c r="F167" s="4" t="s">
        <v>1128</v>
      </c>
      <c r="G167" s="4" t="s">
        <v>1129</v>
      </c>
      <c r="H167" s="4" t="str">
        <f t="shared" si="10"/>
        <v>79.40</v>
      </c>
      <c r="I167" s="3">
        <v>46266</v>
      </c>
      <c r="J167" s="6">
        <v>415</v>
      </c>
      <c r="K167" s="4">
        <v>505.2</v>
      </c>
      <c r="L167" s="4" t="s">
        <v>1130</v>
      </c>
      <c r="M167" s="4" t="s">
        <v>323</v>
      </c>
      <c r="N167" s="4" t="s">
        <v>243</v>
      </c>
      <c r="O167" s="4">
        <v>393.2</v>
      </c>
      <c r="P167" s="4">
        <v>10.99</v>
      </c>
      <c r="Q167" s="4">
        <v>53.5</v>
      </c>
      <c r="R167" s="4">
        <v>5.24</v>
      </c>
      <c r="S167" s="4">
        <v>2.95</v>
      </c>
      <c r="T167">
        <f t="shared" si="11"/>
        <v>8.91</v>
      </c>
      <c r="U167" s="18">
        <v>79.5</v>
      </c>
      <c r="V167" s="18">
        <f t="shared" si="12"/>
        <v>158.9</v>
      </c>
      <c r="W167" s="18">
        <f t="shared" si="13"/>
        <v>12.86</v>
      </c>
      <c r="X167" s="18">
        <f t="shared" si="14"/>
        <v>920.2</v>
      </c>
      <c r="Y167" s="18"/>
      <c r="Z167" s="18"/>
    </row>
    <row r="168" ht="29.25" spans="1:31">
      <c r="A168">
        <v>2013</v>
      </c>
      <c r="B168" s="3">
        <v>46296</v>
      </c>
      <c r="C168" s="4" t="s">
        <v>1131</v>
      </c>
      <c r="D168" s="6" t="s">
        <v>1132</v>
      </c>
      <c r="E168" s="6" t="s">
        <v>1133</v>
      </c>
      <c r="F168" s="4" t="s">
        <v>1134</v>
      </c>
      <c r="G168" s="4" t="s">
        <v>1135</v>
      </c>
      <c r="H168" s="4" t="str">
        <f t="shared" si="10"/>
        <v>83.12</v>
      </c>
      <c r="I168" s="3">
        <v>46296</v>
      </c>
      <c r="J168" s="6">
        <v>428</v>
      </c>
      <c r="K168" s="4">
        <v>538.7</v>
      </c>
      <c r="L168" s="4" t="s">
        <v>1136</v>
      </c>
      <c r="M168" s="4" t="s">
        <v>316</v>
      </c>
      <c r="N168" s="4" t="s">
        <v>168</v>
      </c>
      <c r="O168" s="4">
        <v>393.42</v>
      </c>
      <c r="P168" s="4">
        <v>10.68</v>
      </c>
      <c r="Q168" s="6">
        <v>65.8</v>
      </c>
      <c r="R168" s="4">
        <v>4.62</v>
      </c>
      <c r="S168" s="4">
        <v>4.15</v>
      </c>
      <c r="T168">
        <f t="shared" si="11"/>
        <v>2.66</v>
      </c>
      <c r="U168" s="18">
        <v>85.8</v>
      </c>
      <c r="V168" s="18">
        <f t="shared" si="12"/>
        <v>168.92</v>
      </c>
      <c r="W168" s="18">
        <f t="shared" si="13"/>
        <v>16.57</v>
      </c>
      <c r="X168" s="18">
        <f t="shared" si="14"/>
        <v>966.7</v>
      </c>
      <c r="Y168" s="18"/>
      <c r="Z168" s="18"/>
    </row>
    <row r="169" ht="30" spans="1:31">
      <c r="A169">
        <v>2013</v>
      </c>
      <c r="B169" s="3">
        <v>46327</v>
      </c>
      <c r="C169" s="4" t="s">
        <v>1137</v>
      </c>
      <c r="D169" s="4" t="s">
        <v>1138</v>
      </c>
      <c r="E169" s="4" t="s">
        <v>1139</v>
      </c>
      <c r="F169" s="4" t="s">
        <v>1140</v>
      </c>
      <c r="G169" s="6" t="s">
        <v>1141</v>
      </c>
      <c r="H169" s="4" t="str">
        <f t="shared" si="10"/>
        <v>86.45</v>
      </c>
      <c r="I169" s="3">
        <v>46327</v>
      </c>
      <c r="J169" s="6">
        <v>435</v>
      </c>
      <c r="K169" s="4">
        <v>575.4</v>
      </c>
      <c r="L169" s="4" t="s">
        <v>1142</v>
      </c>
      <c r="M169" s="4" t="s">
        <v>345</v>
      </c>
      <c r="N169" s="6" t="s">
        <v>308</v>
      </c>
      <c r="O169" s="4">
        <v>394.89</v>
      </c>
      <c r="P169" s="4">
        <v>10.52</v>
      </c>
      <c r="Q169" s="6">
        <v>70.2</v>
      </c>
      <c r="R169" s="4">
        <v>3.95</v>
      </c>
      <c r="S169" s="4">
        <v>5.12</v>
      </c>
      <c r="T169">
        <f t="shared" si="11"/>
        <v>13</v>
      </c>
      <c r="U169" s="18">
        <v>75.5</v>
      </c>
      <c r="V169" s="18">
        <f t="shared" si="12"/>
        <v>161.95</v>
      </c>
      <c r="W169" s="18">
        <f t="shared" si="13"/>
        <v>19.89</v>
      </c>
      <c r="X169" s="18">
        <f t="shared" si="14"/>
        <v>1010.4</v>
      </c>
      <c r="Y169" s="18"/>
      <c r="Z169" s="18"/>
    </row>
    <row r="170" ht="30" spans="1:31">
      <c r="A170">
        <v>2013</v>
      </c>
      <c r="B170" s="3">
        <v>46357</v>
      </c>
      <c r="C170" s="4" t="s">
        <v>1143</v>
      </c>
      <c r="D170" s="4" t="s">
        <v>1144</v>
      </c>
      <c r="E170" s="4" t="s">
        <v>1145</v>
      </c>
      <c r="F170" s="4" t="s">
        <v>1146</v>
      </c>
      <c r="G170" s="6" t="s">
        <v>1147</v>
      </c>
      <c r="H170" s="4" t="str">
        <f t="shared" si="10"/>
        <v>87.20</v>
      </c>
      <c r="I170" s="3">
        <v>46357</v>
      </c>
      <c r="J170" s="6">
        <v>442</v>
      </c>
      <c r="K170" s="6">
        <v>602.8</v>
      </c>
      <c r="L170" s="4" t="s">
        <v>1148</v>
      </c>
      <c r="M170" s="6" t="s">
        <v>380</v>
      </c>
      <c r="N170" s="6" t="s">
        <v>293</v>
      </c>
      <c r="O170" s="4">
        <v>396.48</v>
      </c>
      <c r="P170" s="4">
        <v>10.43</v>
      </c>
      <c r="Q170" s="4">
        <v>52.5</v>
      </c>
      <c r="R170" s="4">
        <v>3.68</v>
      </c>
      <c r="S170" s="4">
        <v>5.45</v>
      </c>
      <c r="T170">
        <f t="shared" si="11"/>
        <v>14.75</v>
      </c>
      <c r="U170" s="18">
        <v>73.8</v>
      </c>
      <c r="V170" s="18">
        <f t="shared" si="12"/>
        <v>161</v>
      </c>
      <c r="W170" s="18">
        <f t="shared" si="13"/>
        <v>20.62</v>
      </c>
      <c r="X170" s="18">
        <f t="shared" si="14"/>
        <v>1044.8</v>
      </c>
      <c r="Y170" s="18">
        <f>AVERAGE(X159:X170)</f>
        <v>965.725</v>
      </c>
      <c r="Z170" s="18">
        <f>AVERAGE(W159:W161)</f>
        <v>20.35</v>
      </c>
      <c r="AA170">
        <f>(SUM(U159:U170)-SUM(U165:U167))/9</f>
        <v>77.8777777777778</v>
      </c>
      <c r="AB170">
        <f>AVERAGE(T159:T170)</f>
        <v>9.40333333333333</v>
      </c>
      <c r="AC170">
        <f>(SUM(T159:T170)-T163-T168)/10</f>
        <v>10.845</v>
      </c>
      <c r="AD170">
        <f>AVERAGE(T159:T161)</f>
        <v>14.32</v>
      </c>
      <c r="AE170">
        <f>AVERAGE(V159:V170)</f>
        <v>160.8075</v>
      </c>
    </row>
    <row r="171" ht="60.75" spans="1:31">
      <c r="B171" s="6" t="s">
        <v>1149</v>
      </c>
      <c r="C171" s="6" t="s">
        <v>396</v>
      </c>
      <c r="D171" s="6" t="s">
        <v>8</v>
      </c>
      <c r="E171" s="6" t="s">
        <v>124</v>
      </c>
      <c r="F171" s="6" t="s">
        <v>10</v>
      </c>
      <c r="G171" s="6" t="s">
        <v>125</v>
      </c>
      <c r="H171" s="4" t="str">
        <f t="shared" si="10"/>
        <v>650 氢</v>
      </c>
      <c r="I171" s="6" t="s">
        <v>1149</v>
      </c>
      <c r="J171" s="6" t="s">
        <v>126</v>
      </c>
      <c r="K171" s="6" t="s">
        <v>126</v>
      </c>
      <c r="L171" s="6" t="s">
        <v>127</v>
      </c>
      <c r="M171" s="6" t="s">
        <v>15</v>
      </c>
      <c r="N171" s="6" t="s">
        <v>16</v>
      </c>
      <c r="O171" s="6" t="s">
        <v>17</v>
      </c>
      <c r="P171" s="6" t="s">
        <v>18</v>
      </c>
      <c r="Q171" s="6" t="s">
        <v>19</v>
      </c>
      <c r="R171" s="6" t="s">
        <v>128</v>
      </c>
      <c r="S171" s="6" t="s">
        <v>21</v>
      </c>
      <c r="T171" t="e">
        <f t="shared" si="11"/>
        <v>#VALUE!</v>
      </c>
      <c r="U171" s="19" t="s">
        <v>129</v>
      </c>
      <c r="V171" s="18" t="e">
        <f t="shared" si="12"/>
        <v>#VALUE!</v>
      </c>
      <c r="W171" s="18" t="e">
        <f t="shared" si="13"/>
        <v>#VALUE!</v>
      </c>
      <c r="X171" s="18">
        <f t="shared" si="14"/>
        <v>0</v>
      </c>
      <c r="Y171" s="18"/>
      <c r="Z171" s="18"/>
    </row>
    <row r="172" ht="30" spans="1:31">
      <c r="A172">
        <v>2014</v>
      </c>
      <c r="B172" s="3">
        <v>46023</v>
      </c>
      <c r="C172" s="4" t="s">
        <v>1150</v>
      </c>
      <c r="D172" s="4" t="s">
        <v>1151</v>
      </c>
      <c r="E172" s="4" t="s">
        <v>1152</v>
      </c>
      <c r="F172" s="4" t="s">
        <v>1153</v>
      </c>
      <c r="G172" s="6" t="s">
        <v>1154</v>
      </c>
      <c r="H172" s="4" t="str">
        <f t="shared" si="10"/>
        <v>86.15</v>
      </c>
      <c r="I172" s="3">
        <v>46023</v>
      </c>
      <c r="J172" s="6">
        <v>462</v>
      </c>
      <c r="K172" s="6">
        <v>588.6</v>
      </c>
      <c r="L172" s="6" t="s">
        <v>1155</v>
      </c>
      <c r="M172" s="6" t="s">
        <v>1071</v>
      </c>
      <c r="N172" s="6" t="s">
        <v>220</v>
      </c>
      <c r="O172" s="4">
        <v>397.66</v>
      </c>
      <c r="P172" s="4">
        <v>10.42</v>
      </c>
      <c r="Q172" s="4">
        <v>48.2</v>
      </c>
      <c r="R172" s="4">
        <v>3.62</v>
      </c>
      <c r="S172" s="4">
        <v>5.25</v>
      </c>
      <c r="T172">
        <f t="shared" si="11"/>
        <v>16.09</v>
      </c>
      <c r="U172" s="18">
        <v>72.5</v>
      </c>
      <c r="V172" s="18">
        <f t="shared" si="12"/>
        <v>158.65</v>
      </c>
      <c r="W172" s="18">
        <f t="shared" si="13"/>
        <v>19.56</v>
      </c>
      <c r="X172" s="18">
        <f t="shared" si="14"/>
        <v>1050.6</v>
      </c>
      <c r="Y172" s="18"/>
      <c r="Z172" s="18"/>
    </row>
    <row r="173" ht="29.25" spans="1:31">
      <c r="A173">
        <v>2014</v>
      </c>
      <c r="B173" s="3">
        <v>46054</v>
      </c>
      <c r="C173" s="4" t="s">
        <v>1156</v>
      </c>
      <c r="D173" s="4" t="s">
        <v>1157</v>
      </c>
      <c r="E173" s="4" t="s">
        <v>1081</v>
      </c>
      <c r="F173" s="4" t="s">
        <v>1158</v>
      </c>
      <c r="G173" s="4" t="s">
        <v>1159</v>
      </c>
      <c r="H173" s="4" t="str">
        <f t="shared" si="10"/>
        <v>85.30</v>
      </c>
      <c r="I173" s="3">
        <v>46054</v>
      </c>
      <c r="J173" s="6">
        <v>465</v>
      </c>
      <c r="K173" s="4">
        <v>581.2</v>
      </c>
      <c r="L173" s="4" t="s">
        <v>1160</v>
      </c>
      <c r="M173" s="4" t="s">
        <v>271</v>
      </c>
      <c r="N173" s="4" t="s">
        <v>145</v>
      </c>
      <c r="O173" s="4">
        <v>397.77</v>
      </c>
      <c r="P173" s="4">
        <v>10.48</v>
      </c>
      <c r="Q173" s="4">
        <v>52.4</v>
      </c>
      <c r="R173" s="4">
        <v>3.85</v>
      </c>
      <c r="S173" s="4">
        <v>5.42</v>
      </c>
      <c r="T173">
        <f t="shared" si="11"/>
        <v>15.44</v>
      </c>
      <c r="U173" s="18">
        <v>73.2</v>
      </c>
      <c r="V173" s="18">
        <f t="shared" si="12"/>
        <v>158.5</v>
      </c>
      <c r="W173" s="18">
        <f t="shared" si="13"/>
        <v>18.7</v>
      </c>
      <c r="X173" s="18">
        <f t="shared" si="14"/>
        <v>1046.2</v>
      </c>
      <c r="Y173" s="18"/>
      <c r="Z173" s="18"/>
    </row>
    <row r="174" ht="29.25" spans="1:31">
      <c r="A174">
        <v>2014</v>
      </c>
      <c r="B174" s="3">
        <v>46082</v>
      </c>
      <c r="C174" s="4" t="s">
        <v>1161</v>
      </c>
      <c r="D174" s="4" t="s">
        <v>1162</v>
      </c>
      <c r="E174" s="4" t="s">
        <v>1088</v>
      </c>
      <c r="F174" s="4" t="s">
        <v>1163</v>
      </c>
      <c r="G174" s="4" t="s">
        <v>1164</v>
      </c>
      <c r="H174" s="4" t="str">
        <f t="shared" si="10"/>
        <v>82.40</v>
      </c>
      <c r="I174" s="3">
        <v>46082</v>
      </c>
      <c r="J174" s="6">
        <v>458</v>
      </c>
      <c r="K174" s="4">
        <v>558.4</v>
      </c>
      <c r="L174" s="4" t="s">
        <v>1165</v>
      </c>
      <c r="M174" s="4" t="s">
        <v>380</v>
      </c>
      <c r="N174" s="4" t="s">
        <v>236</v>
      </c>
      <c r="O174" s="4">
        <v>399.3</v>
      </c>
      <c r="P174" s="4">
        <v>10.59</v>
      </c>
      <c r="Q174" s="6">
        <v>68.6</v>
      </c>
      <c r="R174" s="4">
        <v>4.32</v>
      </c>
      <c r="S174" s="4">
        <v>4.68</v>
      </c>
      <c r="T174">
        <f t="shared" si="11"/>
        <v>13.88</v>
      </c>
      <c r="U174" s="18">
        <v>74.8</v>
      </c>
      <c r="V174" s="18">
        <f t="shared" si="12"/>
        <v>157.2</v>
      </c>
      <c r="W174" s="18">
        <f t="shared" si="13"/>
        <v>15.78</v>
      </c>
      <c r="X174" s="18">
        <f t="shared" si="14"/>
        <v>1016.4</v>
      </c>
      <c r="Y174" s="18"/>
      <c r="Z174" s="18"/>
    </row>
    <row r="175" ht="29.25" spans="1:31">
      <c r="A175">
        <v>2014</v>
      </c>
      <c r="B175" s="3">
        <v>46113</v>
      </c>
      <c r="C175" s="4" t="s">
        <v>1166</v>
      </c>
      <c r="D175" s="4" t="s">
        <v>1167</v>
      </c>
      <c r="E175" s="6" t="s">
        <v>1168</v>
      </c>
      <c r="F175" s="4" t="s">
        <v>1169</v>
      </c>
      <c r="G175" s="4" t="s">
        <v>1170</v>
      </c>
      <c r="H175" s="4" t="str">
        <f t="shared" si="10"/>
        <v>79.15</v>
      </c>
      <c r="I175" s="3">
        <v>46113</v>
      </c>
      <c r="J175" s="6">
        <v>452</v>
      </c>
      <c r="K175" s="4">
        <v>525.7</v>
      </c>
      <c r="L175" s="4" t="s">
        <v>1171</v>
      </c>
      <c r="M175" s="4" t="s">
        <v>1172</v>
      </c>
      <c r="N175" s="4" t="s">
        <v>301</v>
      </c>
      <c r="O175" s="6">
        <v>401.18</v>
      </c>
      <c r="P175" s="4">
        <v>10.75</v>
      </c>
      <c r="Q175" s="6">
        <v>70.5</v>
      </c>
      <c r="R175" s="4">
        <v>4.98</v>
      </c>
      <c r="S175" s="4">
        <v>3.85</v>
      </c>
      <c r="T175">
        <f t="shared" si="11"/>
        <v>12.23</v>
      </c>
      <c r="U175" s="18">
        <v>76.5</v>
      </c>
      <c r="V175" s="18">
        <f t="shared" si="12"/>
        <v>155.65</v>
      </c>
      <c r="W175" s="18">
        <f t="shared" si="13"/>
        <v>12.52</v>
      </c>
      <c r="X175" s="18">
        <f t="shared" si="14"/>
        <v>977.7</v>
      </c>
      <c r="Y175" s="18"/>
      <c r="Z175" s="18"/>
    </row>
    <row r="176" ht="29.25" spans="1:31">
      <c r="A176">
        <v>2014</v>
      </c>
      <c r="B176" s="3">
        <v>46143</v>
      </c>
      <c r="C176" s="4" t="s">
        <v>1173</v>
      </c>
      <c r="D176" s="4" t="s">
        <v>1174</v>
      </c>
      <c r="E176" s="4" t="s">
        <v>1175</v>
      </c>
      <c r="F176" s="4" t="s">
        <v>1176</v>
      </c>
      <c r="G176" s="4" t="s">
        <v>1177</v>
      </c>
      <c r="H176" s="4" t="str">
        <f t="shared" si="10"/>
        <v>76.20</v>
      </c>
      <c r="I176" s="3">
        <v>46143</v>
      </c>
      <c r="J176" s="6">
        <v>438</v>
      </c>
      <c r="K176" s="4">
        <v>498.2</v>
      </c>
      <c r="L176" s="4" t="s">
        <v>1178</v>
      </c>
      <c r="M176" s="4" t="s">
        <v>925</v>
      </c>
      <c r="N176" s="6" t="s">
        <v>1179</v>
      </c>
      <c r="O176" s="6">
        <v>401.62</v>
      </c>
      <c r="P176" s="4">
        <v>10.95</v>
      </c>
      <c r="Q176" s="4">
        <v>65.2</v>
      </c>
      <c r="R176" s="4">
        <v>5.75</v>
      </c>
      <c r="S176" s="4">
        <v>3.12</v>
      </c>
      <c r="T176">
        <f t="shared" si="11"/>
        <v>9.97</v>
      </c>
      <c r="U176" s="18">
        <v>78.8</v>
      </c>
      <c r="V176" s="18">
        <f t="shared" si="12"/>
        <v>155</v>
      </c>
      <c r="W176" s="18">
        <f t="shared" si="13"/>
        <v>9.56</v>
      </c>
      <c r="X176" s="18">
        <f t="shared" si="14"/>
        <v>936.2</v>
      </c>
      <c r="Y176" s="18"/>
      <c r="Z176" s="18"/>
    </row>
    <row r="177" ht="29.25" spans="1:31">
      <c r="A177">
        <v>2014</v>
      </c>
      <c r="B177" s="3">
        <v>46174</v>
      </c>
      <c r="C177" s="4" t="s">
        <v>1180</v>
      </c>
      <c r="D177" s="4" t="s">
        <v>1181</v>
      </c>
      <c r="E177" s="4" t="s">
        <v>1182</v>
      </c>
      <c r="F177" s="4" t="s">
        <v>1183</v>
      </c>
      <c r="G177" s="4" t="s">
        <v>1184</v>
      </c>
      <c r="H177" s="4" t="str">
        <f t="shared" si="10"/>
        <v>74.35</v>
      </c>
      <c r="I177" s="3">
        <v>46174</v>
      </c>
      <c r="J177" s="6">
        <v>425</v>
      </c>
      <c r="K177" s="4">
        <v>472.6</v>
      </c>
      <c r="L177" s="6" t="s">
        <v>1185</v>
      </c>
      <c r="M177" s="4" t="s">
        <v>1186</v>
      </c>
      <c r="N177" s="4" t="s">
        <v>481</v>
      </c>
      <c r="O177" s="4">
        <v>401.07</v>
      </c>
      <c r="P177" s="4">
        <v>11.12</v>
      </c>
      <c r="Q177" s="4">
        <v>58.4</v>
      </c>
      <c r="R177" s="4">
        <v>6.68</v>
      </c>
      <c r="S177" s="4">
        <v>2.24</v>
      </c>
      <c r="T177">
        <f t="shared" si="11"/>
        <v>7.31999999999999</v>
      </c>
      <c r="U177" s="18">
        <v>81.5</v>
      </c>
      <c r="V177" s="18">
        <f t="shared" si="12"/>
        <v>155.85</v>
      </c>
      <c r="W177" s="18">
        <f t="shared" si="13"/>
        <v>7.69999999999999</v>
      </c>
      <c r="X177" s="18">
        <f t="shared" si="14"/>
        <v>897.6</v>
      </c>
      <c r="Y177" s="18"/>
      <c r="Z177" s="18"/>
    </row>
    <row r="178" ht="30" spans="1:31">
      <c r="A178">
        <v>2014</v>
      </c>
      <c r="B178" s="3">
        <v>46204</v>
      </c>
      <c r="C178" s="4" t="s">
        <v>1187</v>
      </c>
      <c r="D178" s="4" t="s">
        <v>1188</v>
      </c>
      <c r="E178" s="4" t="s">
        <v>1113</v>
      </c>
      <c r="F178" s="4" t="s">
        <v>1189</v>
      </c>
      <c r="G178" s="6" t="s">
        <v>1190</v>
      </c>
      <c r="H178" s="4" t="str">
        <f t="shared" si="10"/>
        <v>72.15</v>
      </c>
      <c r="I178" s="3">
        <v>46204</v>
      </c>
      <c r="J178" s="6">
        <v>418</v>
      </c>
      <c r="K178" s="6">
        <v>458.3</v>
      </c>
      <c r="L178" s="6" t="s">
        <v>1191</v>
      </c>
      <c r="M178" s="4" t="s">
        <v>1192</v>
      </c>
      <c r="N178" s="4" t="s">
        <v>293</v>
      </c>
      <c r="O178" s="4">
        <v>398.9</v>
      </c>
      <c r="P178" s="6">
        <v>11.29</v>
      </c>
      <c r="Q178" s="4">
        <v>55.8</v>
      </c>
      <c r="R178" s="6">
        <v>7.25</v>
      </c>
      <c r="S178" s="6">
        <v>1.95</v>
      </c>
      <c r="T178">
        <f t="shared" si="11"/>
        <v>5.66</v>
      </c>
      <c r="U178" s="18">
        <v>83.2</v>
      </c>
      <c r="V178" s="18">
        <f t="shared" si="12"/>
        <v>155.35</v>
      </c>
      <c r="W178" s="18">
        <f t="shared" si="13"/>
        <v>5.49000000000001</v>
      </c>
      <c r="X178" s="18">
        <f t="shared" si="14"/>
        <v>876.3</v>
      </c>
      <c r="Y178" s="18"/>
      <c r="Z178" s="18"/>
    </row>
    <row r="179" ht="29.25" spans="1:31">
      <c r="A179">
        <v>2014</v>
      </c>
      <c r="B179" s="3">
        <v>46235</v>
      </c>
      <c r="C179" s="4" t="s">
        <v>1193</v>
      </c>
      <c r="D179" s="4" t="s">
        <v>533</v>
      </c>
      <c r="E179" s="4" t="s">
        <v>1194</v>
      </c>
      <c r="F179" s="4" t="s">
        <v>1195</v>
      </c>
      <c r="G179" s="4" t="s">
        <v>1196</v>
      </c>
      <c r="H179" s="4" t="str">
        <f t="shared" si="10"/>
        <v>73.60</v>
      </c>
      <c r="I179" s="3">
        <v>46235</v>
      </c>
      <c r="J179" s="6">
        <v>422</v>
      </c>
      <c r="K179" s="4">
        <v>466.8</v>
      </c>
      <c r="L179" s="4" t="s">
        <v>1197</v>
      </c>
      <c r="M179" s="4" t="s">
        <v>1198</v>
      </c>
      <c r="N179" s="4" t="s">
        <v>567</v>
      </c>
      <c r="O179" s="4">
        <v>396.86</v>
      </c>
      <c r="P179" s="6">
        <v>11.35</v>
      </c>
      <c r="Q179" s="4">
        <v>60.2</v>
      </c>
      <c r="R179" s="4">
        <v>6.52</v>
      </c>
      <c r="S179" s="4">
        <v>2.1</v>
      </c>
      <c r="T179">
        <f t="shared" si="11"/>
        <v>6.41</v>
      </c>
      <c r="U179" s="18">
        <v>82.5</v>
      </c>
      <c r="V179" s="18">
        <f t="shared" si="12"/>
        <v>156.1</v>
      </c>
      <c r="W179" s="18">
        <f t="shared" si="13"/>
        <v>6.91999999999999</v>
      </c>
      <c r="X179" s="18">
        <f t="shared" si="14"/>
        <v>888.8</v>
      </c>
      <c r="Y179" s="18"/>
      <c r="Z179" s="18"/>
    </row>
    <row r="180" ht="29.25" spans="1:31">
      <c r="A180">
        <v>2014</v>
      </c>
      <c r="B180" s="3">
        <v>46266</v>
      </c>
      <c r="C180" s="4" t="s">
        <v>1199</v>
      </c>
      <c r="D180" s="6" t="s">
        <v>1200</v>
      </c>
      <c r="E180" s="6" t="s">
        <v>1201</v>
      </c>
      <c r="F180" s="4" t="s">
        <v>1202</v>
      </c>
      <c r="G180" s="4" t="s">
        <v>1203</v>
      </c>
      <c r="H180" s="4" t="str">
        <f t="shared" si="10"/>
        <v>75.12</v>
      </c>
      <c r="I180" s="3">
        <v>46266</v>
      </c>
      <c r="J180" s="6">
        <v>430</v>
      </c>
      <c r="K180" s="4">
        <v>492.5</v>
      </c>
      <c r="L180" s="4" t="s">
        <v>1204</v>
      </c>
      <c r="M180" s="4" t="s">
        <v>1205</v>
      </c>
      <c r="N180" s="4" t="s">
        <v>1206</v>
      </c>
      <c r="O180" s="4">
        <v>395.12</v>
      </c>
      <c r="P180" s="4">
        <v>11.06</v>
      </c>
      <c r="Q180" s="4">
        <v>65.5</v>
      </c>
      <c r="R180" s="4">
        <v>5.42</v>
      </c>
      <c r="S180" s="4">
        <v>3.25</v>
      </c>
      <c r="T180">
        <f t="shared" si="11"/>
        <v>3.75</v>
      </c>
      <c r="U180" s="18">
        <v>85.2</v>
      </c>
      <c r="V180" s="18">
        <f t="shared" si="12"/>
        <v>160.32</v>
      </c>
      <c r="W180" s="18">
        <f t="shared" si="13"/>
        <v>8.43000000000001</v>
      </c>
      <c r="X180" s="18">
        <f t="shared" si="14"/>
        <v>922.5</v>
      </c>
      <c r="Y180" s="18"/>
      <c r="Z180" s="18"/>
    </row>
    <row r="181" ht="30.75" spans="1:31">
      <c r="A181">
        <v>2014</v>
      </c>
      <c r="B181" s="3">
        <v>46296</v>
      </c>
      <c r="C181" s="4" t="s">
        <v>1207</v>
      </c>
      <c r="D181" s="4" t="s">
        <v>1208</v>
      </c>
      <c r="E181" s="6" t="s">
        <v>1209</v>
      </c>
      <c r="F181" s="4" t="s">
        <v>1210</v>
      </c>
      <c r="G181" s="4" t="s">
        <v>1211</v>
      </c>
      <c r="H181" s="4" t="str">
        <f t="shared" si="10"/>
        <v>78.45</v>
      </c>
      <c r="I181" s="3">
        <v>46296</v>
      </c>
      <c r="J181" s="6">
        <v>445</v>
      </c>
      <c r="K181" s="4">
        <v>521.4</v>
      </c>
      <c r="L181" s="4" t="s">
        <v>1212</v>
      </c>
      <c r="M181" s="4" t="s">
        <v>1213</v>
      </c>
      <c r="N181" s="4" t="s">
        <v>1214</v>
      </c>
      <c r="O181" s="4">
        <v>395.73</v>
      </c>
      <c r="P181" s="4">
        <v>10.75</v>
      </c>
      <c r="Q181" s="6">
        <v>78.4</v>
      </c>
      <c r="R181" s="4">
        <v>4.75</v>
      </c>
      <c r="S181" s="4">
        <v>4.42</v>
      </c>
      <c r="T181">
        <f t="shared" si="11"/>
        <v>11.5</v>
      </c>
      <c r="U181" s="18">
        <v>77.5</v>
      </c>
      <c r="V181" s="18">
        <f t="shared" si="12"/>
        <v>155.95</v>
      </c>
      <c r="W181" s="18">
        <f t="shared" si="13"/>
        <v>11.74</v>
      </c>
      <c r="X181" s="18">
        <f t="shared" si="14"/>
        <v>966.4</v>
      </c>
      <c r="Y181" s="18"/>
      <c r="Z181" s="18"/>
    </row>
    <row r="182" ht="30" spans="1:31">
      <c r="A182">
        <v>2014</v>
      </c>
      <c r="B182" s="3">
        <v>46327</v>
      </c>
      <c r="C182" s="4" t="s">
        <v>1215</v>
      </c>
      <c r="D182" s="4" t="s">
        <v>1216</v>
      </c>
      <c r="E182" s="4" t="s">
        <v>1139</v>
      </c>
      <c r="F182" s="4" t="s">
        <v>1217</v>
      </c>
      <c r="G182" s="6" t="s">
        <v>1218</v>
      </c>
      <c r="H182" s="4" t="str">
        <f t="shared" si="10"/>
        <v>81.30</v>
      </c>
      <c r="I182" s="3">
        <v>46327</v>
      </c>
      <c r="J182" s="6">
        <v>458</v>
      </c>
      <c r="K182" s="4">
        <v>556.7</v>
      </c>
      <c r="L182" s="4" t="s">
        <v>1219</v>
      </c>
      <c r="M182" s="4" t="s">
        <v>1220</v>
      </c>
      <c r="N182" s="4" t="s">
        <v>424</v>
      </c>
      <c r="O182" s="4">
        <v>397.09</v>
      </c>
      <c r="P182" s="4">
        <v>10.61</v>
      </c>
      <c r="Q182" s="6">
        <v>82.6</v>
      </c>
      <c r="R182" s="4">
        <v>4.12</v>
      </c>
      <c r="S182" s="4">
        <v>5.35</v>
      </c>
      <c r="T182">
        <f t="shared" si="11"/>
        <v>13.24</v>
      </c>
      <c r="U182" s="18">
        <v>75.8</v>
      </c>
      <c r="V182" s="18">
        <f t="shared" si="12"/>
        <v>157.1</v>
      </c>
      <c r="W182" s="18">
        <f t="shared" si="13"/>
        <v>14.58</v>
      </c>
      <c r="X182" s="18">
        <f t="shared" si="14"/>
        <v>1014.7</v>
      </c>
      <c r="Y182" s="18"/>
      <c r="Z182" s="18"/>
    </row>
    <row r="183" ht="30" spans="1:31">
      <c r="A183">
        <v>2014</v>
      </c>
      <c r="B183" s="3">
        <v>46357</v>
      </c>
      <c r="C183" s="4" t="s">
        <v>1221</v>
      </c>
      <c r="D183" s="4" t="s">
        <v>1222</v>
      </c>
      <c r="E183" s="4" t="s">
        <v>1223</v>
      </c>
      <c r="F183" s="4" t="s">
        <v>1224</v>
      </c>
      <c r="G183" s="6" t="s">
        <v>1225</v>
      </c>
      <c r="H183" s="4" t="str">
        <f t="shared" si="10"/>
        <v>83.15</v>
      </c>
      <c r="I183" s="3">
        <v>46357</v>
      </c>
      <c r="J183" s="6">
        <v>470</v>
      </c>
      <c r="K183" s="6">
        <v>578.2</v>
      </c>
      <c r="L183" s="4" t="s">
        <v>1226</v>
      </c>
      <c r="M183" s="6" t="s">
        <v>1227</v>
      </c>
      <c r="N183" s="6" t="s">
        <v>301</v>
      </c>
      <c r="O183" s="4">
        <v>398.71</v>
      </c>
      <c r="P183" s="4">
        <v>10.52</v>
      </c>
      <c r="Q183" s="4">
        <v>68.2</v>
      </c>
      <c r="R183" s="4">
        <v>3.82</v>
      </c>
      <c r="S183" s="4">
        <v>5.62</v>
      </c>
      <c r="T183">
        <f t="shared" si="11"/>
        <v>15.09</v>
      </c>
      <c r="U183" s="18">
        <v>74</v>
      </c>
      <c r="V183" s="18">
        <f t="shared" si="12"/>
        <v>157.15</v>
      </c>
      <c r="W183" s="18">
        <f t="shared" si="13"/>
        <v>16.42</v>
      </c>
      <c r="X183" s="18">
        <f t="shared" si="14"/>
        <v>1048.2</v>
      </c>
      <c r="Y183" s="18">
        <f>AVERAGE(X172:X183)</f>
        <v>970.133333333334</v>
      </c>
      <c r="Z183" s="18">
        <f>AVERAGE(W172:W174)</f>
        <v>18.0133333333333</v>
      </c>
      <c r="AA183">
        <f>(SUM(U172:U183)-SUM(U178:U180))/9</f>
        <v>76.0666666666667</v>
      </c>
      <c r="AB183">
        <f>AVERAGE(T172:T183)</f>
        <v>10.8816666666667</v>
      </c>
      <c r="AC183">
        <f>(SUM(T172:T183)-T175-T180)/10</f>
        <v>11.46</v>
      </c>
      <c r="AD183">
        <f>AVERAGE(T172:T174)</f>
        <v>15.1366666666667</v>
      </c>
      <c r="AE183">
        <f>AVERAGE(V172:V183)</f>
        <v>156.901666666667</v>
      </c>
    </row>
    <row r="184" ht="60.75" spans="1:31">
      <c r="B184" s="6" t="s">
        <v>1228</v>
      </c>
      <c r="C184" s="6" t="s">
        <v>396</v>
      </c>
      <c r="D184" s="6" t="s">
        <v>8</v>
      </c>
      <c r="E184" s="6" t="s">
        <v>124</v>
      </c>
      <c r="F184" s="6" t="s">
        <v>10</v>
      </c>
      <c r="G184" s="6" t="s">
        <v>125</v>
      </c>
      <c r="H184" s="4" t="str">
        <f t="shared" si="10"/>
        <v>650 氢</v>
      </c>
      <c r="I184" s="6" t="s">
        <v>1228</v>
      </c>
      <c r="J184" s="6" t="s">
        <v>126</v>
      </c>
      <c r="K184" s="6" t="s">
        <v>126</v>
      </c>
      <c r="L184" s="6" t="s">
        <v>127</v>
      </c>
      <c r="M184" s="6" t="s">
        <v>15</v>
      </c>
      <c r="N184" s="6" t="s">
        <v>16</v>
      </c>
      <c r="O184" s="6" t="s">
        <v>17</v>
      </c>
      <c r="P184" s="6" t="s">
        <v>18</v>
      </c>
      <c r="Q184" s="6" t="s">
        <v>19</v>
      </c>
      <c r="R184" s="6" t="s">
        <v>128</v>
      </c>
      <c r="S184" s="6" t="s">
        <v>21</v>
      </c>
      <c r="T184" t="e">
        <f t="shared" si="11"/>
        <v>#VALUE!</v>
      </c>
      <c r="U184" s="19" t="s">
        <v>129</v>
      </c>
      <c r="V184" s="18" t="e">
        <f t="shared" si="12"/>
        <v>#VALUE!</v>
      </c>
      <c r="W184" s="18" t="e">
        <f t="shared" si="13"/>
        <v>#VALUE!</v>
      </c>
      <c r="X184" s="18">
        <f t="shared" si="14"/>
        <v>0</v>
      </c>
      <c r="Y184" s="18"/>
      <c r="Z184" s="18"/>
    </row>
    <row r="185" ht="30" spans="1:31">
      <c r="A185">
        <v>2015</v>
      </c>
      <c r="B185" s="3">
        <v>46023</v>
      </c>
      <c r="C185" s="4" t="s">
        <v>1229</v>
      </c>
      <c r="D185" s="4" t="s">
        <v>1230</v>
      </c>
      <c r="E185" s="6" t="s">
        <v>1231</v>
      </c>
      <c r="F185" s="4" t="s">
        <v>1232</v>
      </c>
      <c r="G185" s="6" t="s">
        <v>1233</v>
      </c>
      <c r="H185" s="4" t="str">
        <f t="shared" si="10"/>
        <v>82.45</v>
      </c>
      <c r="I185" s="3">
        <v>46023</v>
      </c>
      <c r="J185" s="6">
        <v>475</v>
      </c>
      <c r="K185" s="6">
        <v>552.4</v>
      </c>
      <c r="L185" s="6" t="s">
        <v>1234</v>
      </c>
      <c r="M185" s="6" t="s">
        <v>503</v>
      </c>
      <c r="N185" s="6" t="s">
        <v>567</v>
      </c>
      <c r="O185" s="4">
        <v>399.85</v>
      </c>
      <c r="P185" s="4">
        <v>10.55</v>
      </c>
      <c r="Q185" s="4">
        <v>42.8</v>
      </c>
      <c r="R185" s="4">
        <v>3.58</v>
      </c>
      <c r="S185" s="4">
        <v>5.35</v>
      </c>
      <c r="T185">
        <f t="shared" si="11"/>
        <v>16.93</v>
      </c>
      <c r="U185" s="18">
        <v>72.2</v>
      </c>
      <c r="V185" s="18">
        <f t="shared" si="12"/>
        <v>154.65</v>
      </c>
      <c r="W185" s="18">
        <f t="shared" si="13"/>
        <v>15.71</v>
      </c>
      <c r="X185" s="18">
        <f t="shared" si="14"/>
        <v>1027.4</v>
      </c>
      <c r="Y185" s="18"/>
      <c r="Z185" s="18"/>
    </row>
    <row r="186" ht="29.25" spans="1:31">
      <c r="A186">
        <v>2015</v>
      </c>
      <c r="B186" s="3">
        <v>46054</v>
      </c>
      <c r="C186" s="4" t="s">
        <v>1235</v>
      </c>
      <c r="D186" s="4" t="s">
        <v>1236</v>
      </c>
      <c r="E186" s="4" t="s">
        <v>1237</v>
      </c>
      <c r="F186" s="4" t="s">
        <v>1238</v>
      </c>
      <c r="G186" s="4" t="s">
        <v>1239</v>
      </c>
      <c r="H186" s="4" t="str">
        <f t="shared" si="10"/>
        <v>81.90</v>
      </c>
      <c r="I186" s="3">
        <v>46054</v>
      </c>
      <c r="J186" s="6">
        <v>478</v>
      </c>
      <c r="K186" s="4">
        <v>535.8</v>
      </c>
      <c r="L186" s="4" t="s">
        <v>1240</v>
      </c>
      <c r="M186" s="4" t="s">
        <v>1241</v>
      </c>
      <c r="N186" s="4" t="s">
        <v>575</v>
      </c>
      <c r="O186" s="4">
        <v>400.31</v>
      </c>
      <c r="P186" s="4">
        <v>10.61</v>
      </c>
      <c r="Q186" s="4">
        <v>45.4</v>
      </c>
      <c r="R186" s="4">
        <v>3.75</v>
      </c>
      <c r="S186" s="4">
        <v>5.12</v>
      </c>
      <c r="T186">
        <f t="shared" si="11"/>
        <v>16.38</v>
      </c>
      <c r="U186" s="18">
        <v>72.8</v>
      </c>
      <c r="V186" s="18">
        <f t="shared" si="12"/>
        <v>154.7</v>
      </c>
      <c r="W186" s="18">
        <f t="shared" si="13"/>
        <v>15.15</v>
      </c>
      <c r="X186" s="18">
        <f t="shared" si="14"/>
        <v>1013.8</v>
      </c>
      <c r="Y186" s="18"/>
      <c r="Z186" s="18"/>
    </row>
    <row r="187" ht="29.25" spans="1:31">
      <c r="A187">
        <v>2015</v>
      </c>
      <c r="B187" s="3">
        <v>46082</v>
      </c>
      <c r="C187" s="4" t="s">
        <v>1242</v>
      </c>
      <c r="D187" s="4" t="s">
        <v>1243</v>
      </c>
      <c r="E187" s="6" t="s">
        <v>1244</v>
      </c>
      <c r="F187" s="4" t="s">
        <v>1245</v>
      </c>
      <c r="G187" s="4" t="s">
        <v>1246</v>
      </c>
      <c r="H187" s="4" t="str">
        <f t="shared" si="10"/>
        <v>79.12</v>
      </c>
      <c r="I187" s="3">
        <v>46082</v>
      </c>
      <c r="J187" s="6">
        <v>470</v>
      </c>
      <c r="K187" s="4">
        <v>508.6</v>
      </c>
      <c r="L187" s="4" t="s">
        <v>1247</v>
      </c>
      <c r="M187" s="4" t="s">
        <v>1248</v>
      </c>
      <c r="N187" s="4" t="s">
        <v>1249</v>
      </c>
      <c r="O187" s="4">
        <v>401.52</v>
      </c>
      <c r="P187" s="4">
        <v>10.75</v>
      </c>
      <c r="Q187" s="4">
        <v>52.6</v>
      </c>
      <c r="R187" s="4">
        <v>4.25</v>
      </c>
      <c r="S187" s="4">
        <v>4.58</v>
      </c>
      <c r="T187">
        <f t="shared" si="11"/>
        <v>14.72</v>
      </c>
      <c r="U187" s="18">
        <v>74.5</v>
      </c>
      <c r="V187" s="18">
        <f t="shared" si="12"/>
        <v>153.62</v>
      </c>
      <c r="W187" s="18">
        <f t="shared" si="13"/>
        <v>12.35</v>
      </c>
      <c r="X187" s="18">
        <f t="shared" si="14"/>
        <v>978.6</v>
      </c>
      <c r="Y187" s="18"/>
      <c r="Z187" s="18"/>
    </row>
    <row r="188" ht="29.25" spans="1:31">
      <c r="A188">
        <v>2015</v>
      </c>
      <c r="B188" s="3">
        <v>46113</v>
      </c>
      <c r="C188" s="4" t="s">
        <v>1250</v>
      </c>
      <c r="D188" s="6" t="s">
        <v>1251</v>
      </c>
      <c r="E188" s="6" t="s">
        <v>1252</v>
      </c>
      <c r="F188" s="4" t="s">
        <v>1253</v>
      </c>
      <c r="G188" s="4" t="s">
        <v>1254</v>
      </c>
      <c r="H188" s="4" t="str">
        <f t="shared" si="10"/>
        <v>77.40</v>
      </c>
      <c r="I188" s="3">
        <v>46113</v>
      </c>
      <c r="J188" s="6">
        <v>462</v>
      </c>
      <c r="K188" s="4">
        <v>475.2</v>
      </c>
      <c r="L188" s="6" t="s">
        <v>1255</v>
      </c>
      <c r="M188" s="4" t="s">
        <v>1256</v>
      </c>
      <c r="N188" s="4" t="s">
        <v>1257</v>
      </c>
      <c r="O188" s="4">
        <v>403.08</v>
      </c>
      <c r="P188" s="6">
        <v>10.92</v>
      </c>
      <c r="Q188" s="4">
        <v>58.2</v>
      </c>
      <c r="R188" s="6">
        <v>3.12</v>
      </c>
      <c r="S188" s="6">
        <v>6.45</v>
      </c>
      <c r="T188">
        <f t="shared" si="11"/>
        <v>2.77</v>
      </c>
      <c r="U188" s="18">
        <v>86.5</v>
      </c>
      <c r="V188" s="18">
        <f t="shared" si="12"/>
        <v>163.9</v>
      </c>
      <c r="W188" s="18">
        <f t="shared" si="13"/>
        <v>10.62</v>
      </c>
      <c r="X188" s="18">
        <f t="shared" si="14"/>
        <v>937.2</v>
      </c>
      <c r="Y188" s="18"/>
      <c r="Z188" s="18"/>
    </row>
    <row r="189" ht="29.25" spans="1:31">
      <c r="A189">
        <v>2015</v>
      </c>
      <c r="B189" s="3">
        <v>46143</v>
      </c>
      <c r="C189" s="4" t="s">
        <v>1258</v>
      </c>
      <c r="D189" s="4" t="s">
        <v>1259</v>
      </c>
      <c r="E189" s="4" t="s">
        <v>1260</v>
      </c>
      <c r="F189" s="4" t="s">
        <v>1261</v>
      </c>
      <c r="G189" s="4" t="s">
        <v>1262</v>
      </c>
      <c r="H189" s="4" t="str">
        <f t="shared" si="10"/>
        <v>75.35</v>
      </c>
      <c r="I189" s="3">
        <v>46143</v>
      </c>
      <c r="J189" s="6">
        <v>445</v>
      </c>
      <c r="K189" s="4">
        <v>450.4</v>
      </c>
      <c r="L189" s="4" t="s">
        <v>1263</v>
      </c>
      <c r="M189" s="4" t="s">
        <v>1264</v>
      </c>
      <c r="N189" s="4" t="s">
        <v>1265</v>
      </c>
      <c r="O189" s="6">
        <v>403.7</v>
      </c>
      <c r="P189" s="4">
        <v>11.15</v>
      </c>
      <c r="Q189" s="4">
        <v>54.5</v>
      </c>
      <c r="R189" s="4">
        <v>4.85</v>
      </c>
      <c r="S189" s="4">
        <v>3.52</v>
      </c>
      <c r="T189">
        <f t="shared" si="11"/>
        <v>10.81</v>
      </c>
      <c r="U189" s="18">
        <v>78.5</v>
      </c>
      <c r="V189" s="18">
        <f t="shared" si="12"/>
        <v>153.85</v>
      </c>
      <c r="W189" s="18">
        <f t="shared" si="13"/>
        <v>8.55999999999999</v>
      </c>
      <c r="X189" s="18">
        <f t="shared" si="14"/>
        <v>895.4</v>
      </c>
      <c r="Y189" s="18"/>
      <c r="Z189" s="18"/>
    </row>
    <row r="190" ht="30.75" spans="1:31">
      <c r="A190">
        <v>2015</v>
      </c>
      <c r="B190" s="3">
        <v>46174</v>
      </c>
      <c r="C190" s="4" t="s">
        <v>1266</v>
      </c>
      <c r="D190" s="4" t="s">
        <v>1267</v>
      </c>
      <c r="E190" s="4" t="s">
        <v>1268</v>
      </c>
      <c r="F190" s="4" t="s">
        <v>1269</v>
      </c>
      <c r="G190" s="4" t="s">
        <v>1270</v>
      </c>
      <c r="H190" s="4" t="str">
        <f t="shared" si="10"/>
        <v>73.80</v>
      </c>
      <c r="I190" s="3">
        <v>46174</v>
      </c>
      <c r="J190" s="6">
        <v>432</v>
      </c>
      <c r="K190" s="4">
        <v>422.5</v>
      </c>
      <c r="L190" s="6" t="s">
        <v>1271</v>
      </c>
      <c r="M190" s="6" t="s">
        <v>1272</v>
      </c>
      <c r="N190" s="4" t="s">
        <v>1273</v>
      </c>
      <c r="O190" s="4">
        <v>402.51</v>
      </c>
      <c r="P190" s="4">
        <v>11.38</v>
      </c>
      <c r="Q190" s="4">
        <v>48.6</v>
      </c>
      <c r="R190" s="4">
        <v>5.92</v>
      </c>
      <c r="S190" s="4">
        <v>2.45</v>
      </c>
      <c r="T190">
        <f t="shared" si="11"/>
        <v>8.16</v>
      </c>
      <c r="U190" s="18">
        <v>81.2</v>
      </c>
      <c r="V190" s="18">
        <f t="shared" si="12"/>
        <v>155</v>
      </c>
      <c r="W190" s="18">
        <f t="shared" si="13"/>
        <v>6.98999999999999</v>
      </c>
      <c r="X190" s="18">
        <f t="shared" si="14"/>
        <v>854.5</v>
      </c>
      <c r="Y190" s="18"/>
      <c r="Z190" s="18"/>
    </row>
    <row r="191" ht="30" spans="1:31">
      <c r="A191">
        <v>2015</v>
      </c>
      <c r="B191" s="3">
        <v>46204</v>
      </c>
      <c r="C191" s="4" t="s">
        <v>1274</v>
      </c>
      <c r="D191" s="4" t="s">
        <v>1275</v>
      </c>
      <c r="E191" s="4" t="s">
        <v>1276</v>
      </c>
      <c r="F191" s="4" t="s">
        <v>1277</v>
      </c>
      <c r="G191" s="6" t="s">
        <v>1278</v>
      </c>
      <c r="H191" s="4" t="str">
        <f t="shared" si="10"/>
        <v>72.65</v>
      </c>
      <c r="I191" s="3">
        <v>46204</v>
      </c>
      <c r="J191" s="6">
        <v>425</v>
      </c>
      <c r="K191" s="6">
        <v>408.8</v>
      </c>
      <c r="L191" s="6" t="s">
        <v>1279</v>
      </c>
      <c r="M191" s="4" t="s">
        <v>538</v>
      </c>
      <c r="N191" s="4" t="s">
        <v>1280</v>
      </c>
      <c r="O191" s="4">
        <v>401.07</v>
      </c>
      <c r="P191" s="6">
        <v>11.55</v>
      </c>
      <c r="Q191" s="4">
        <v>46.2</v>
      </c>
      <c r="R191" s="6">
        <v>6.85</v>
      </c>
      <c r="S191" s="6">
        <v>1.92</v>
      </c>
      <c r="T191">
        <f t="shared" si="11"/>
        <v>5.90000000000001</v>
      </c>
      <c r="U191" s="18">
        <v>83.5</v>
      </c>
      <c r="V191" s="18">
        <f t="shared" si="12"/>
        <v>156.15</v>
      </c>
      <c r="W191" s="18">
        <f t="shared" si="13"/>
        <v>5.83000000000001</v>
      </c>
      <c r="X191" s="18">
        <f t="shared" si="14"/>
        <v>833.8</v>
      </c>
      <c r="Y191" s="18"/>
      <c r="Z191" s="18"/>
    </row>
    <row r="192" ht="29.25" spans="1:31">
      <c r="A192">
        <v>2015</v>
      </c>
      <c r="B192" s="3">
        <v>46235</v>
      </c>
      <c r="C192" s="4" t="s">
        <v>1281</v>
      </c>
      <c r="D192" s="4" t="s">
        <v>446</v>
      </c>
      <c r="E192" s="4" t="s">
        <v>1282</v>
      </c>
      <c r="F192" s="4" t="s">
        <v>1283</v>
      </c>
      <c r="G192" s="4" t="s">
        <v>1284</v>
      </c>
      <c r="H192" s="4" t="str">
        <f t="shared" si="10"/>
        <v>73.95</v>
      </c>
      <c r="I192" s="3">
        <v>46235</v>
      </c>
      <c r="J192" s="6">
        <v>430</v>
      </c>
      <c r="K192" s="4">
        <v>415.6</v>
      </c>
      <c r="L192" s="4" t="s">
        <v>1285</v>
      </c>
      <c r="M192" s="4" t="s">
        <v>1286</v>
      </c>
      <c r="N192" s="4" t="s">
        <v>1287</v>
      </c>
      <c r="O192" s="4">
        <v>398.8</v>
      </c>
      <c r="P192" s="6">
        <v>11.62</v>
      </c>
      <c r="Q192" s="4">
        <v>49.5</v>
      </c>
      <c r="R192" s="4">
        <v>6.15</v>
      </c>
      <c r="S192" s="4">
        <v>2.05</v>
      </c>
      <c r="T192">
        <f t="shared" si="11"/>
        <v>6.65000000000001</v>
      </c>
      <c r="U192" s="18">
        <v>82.8</v>
      </c>
      <c r="V192" s="18">
        <f t="shared" si="12"/>
        <v>156.75</v>
      </c>
      <c r="W192" s="18">
        <f t="shared" si="13"/>
        <v>7.12</v>
      </c>
      <c r="X192" s="18">
        <f t="shared" si="14"/>
        <v>845.6</v>
      </c>
      <c r="Y192" s="18"/>
      <c r="Z192" s="18"/>
    </row>
    <row r="193" ht="29.25" spans="1:31">
      <c r="A193">
        <v>2015</v>
      </c>
      <c r="B193" s="3">
        <v>46266</v>
      </c>
      <c r="C193" s="4" t="s">
        <v>1288</v>
      </c>
      <c r="D193" s="4" t="s">
        <v>1289</v>
      </c>
      <c r="E193" s="4" t="s">
        <v>1290</v>
      </c>
      <c r="F193" s="4" t="s">
        <v>1291</v>
      </c>
      <c r="G193" s="4" t="s">
        <v>1292</v>
      </c>
      <c r="H193" s="4" t="str">
        <f t="shared" si="10"/>
        <v>75.20</v>
      </c>
      <c r="I193" s="3">
        <v>46266</v>
      </c>
      <c r="J193" s="6">
        <v>442</v>
      </c>
      <c r="K193" s="4">
        <v>432.4</v>
      </c>
      <c r="L193" s="4" t="s">
        <v>1293</v>
      </c>
      <c r="M193" s="4" t="s">
        <v>552</v>
      </c>
      <c r="N193" s="4" t="s">
        <v>1294</v>
      </c>
      <c r="O193" s="4">
        <v>397.35</v>
      </c>
      <c r="P193" s="4">
        <v>11.31</v>
      </c>
      <c r="Q193" s="4">
        <v>55.4</v>
      </c>
      <c r="R193" s="4">
        <v>5.1</v>
      </c>
      <c r="S193" s="4">
        <v>3.18</v>
      </c>
      <c r="T193">
        <f t="shared" si="11"/>
        <v>9.98999999999999</v>
      </c>
      <c r="U193" s="18">
        <v>79.5</v>
      </c>
      <c r="V193" s="18">
        <f t="shared" si="12"/>
        <v>154.7</v>
      </c>
      <c r="W193" s="18">
        <f t="shared" si="13"/>
        <v>8.35000000000001</v>
      </c>
      <c r="X193" s="18">
        <f t="shared" si="14"/>
        <v>874.4</v>
      </c>
      <c r="Y193" s="18"/>
      <c r="Z193" s="18"/>
    </row>
    <row r="194" ht="29.25" spans="1:31">
      <c r="A194">
        <v>2015</v>
      </c>
      <c r="B194" s="3">
        <v>46296</v>
      </c>
      <c r="C194" s="4" t="s">
        <v>1295</v>
      </c>
      <c r="D194" s="4" t="s">
        <v>1296</v>
      </c>
      <c r="E194" s="4" t="s">
        <v>1297</v>
      </c>
      <c r="F194" s="4" t="s">
        <v>1298</v>
      </c>
      <c r="G194" s="4" t="s">
        <v>1299</v>
      </c>
      <c r="H194" s="4" t="str">
        <f t="shared" si="10"/>
        <v>77.12</v>
      </c>
      <c r="I194" s="3">
        <v>46296</v>
      </c>
      <c r="J194" s="6">
        <v>458</v>
      </c>
      <c r="K194" s="4">
        <v>458.7</v>
      </c>
      <c r="L194" s="4" t="s">
        <v>1300</v>
      </c>
      <c r="M194" s="4" t="s">
        <v>559</v>
      </c>
      <c r="N194" s="4" t="s">
        <v>1301</v>
      </c>
      <c r="O194" s="4">
        <v>397.94</v>
      </c>
      <c r="P194" s="4">
        <v>11.02</v>
      </c>
      <c r="Q194" s="6">
        <v>68.5</v>
      </c>
      <c r="R194" s="4">
        <v>4.52</v>
      </c>
      <c r="S194" s="4">
        <v>4.25</v>
      </c>
      <c r="T194">
        <f t="shared" si="11"/>
        <v>11.74</v>
      </c>
      <c r="U194" s="18">
        <v>77.8</v>
      </c>
      <c r="V194" s="18">
        <f t="shared" si="12"/>
        <v>154.92</v>
      </c>
      <c r="W194" s="18">
        <f t="shared" si="13"/>
        <v>10.26</v>
      </c>
      <c r="X194" s="18">
        <f t="shared" si="14"/>
        <v>916.7</v>
      </c>
      <c r="Y194" s="18"/>
      <c r="Z194" s="18"/>
    </row>
    <row r="195" ht="30" spans="1:31">
      <c r="A195">
        <v>2015</v>
      </c>
      <c r="B195" s="3">
        <v>46327</v>
      </c>
      <c r="C195" s="4" t="s">
        <v>1302</v>
      </c>
      <c r="D195" s="4" t="s">
        <v>1303</v>
      </c>
      <c r="E195" s="4" t="s">
        <v>1304</v>
      </c>
      <c r="F195" s="4" t="s">
        <v>1305</v>
      </c>
      <c r="G195" s="6" t="s">
        <v>1306</v>
      </c>
      <c r="H195" s="4" t="str">
        <f t="shared" ref="H195:H258" si="15">LEFT(G195,5)</f>
        <v>79.80</v>
      </c>
      <c r="I195" s="3">
        <v>46327</v>
      </c>
      <c r="J195" s="6">
        <v>465</v>
      </c>
      <c r="K195" s="4">
        <v>482.1</v>
      </c>
      <c r="L195" s="4" t="s">
        <v>1307</v>
      </c>
      <c r="M195" s="4" t="s">
        <v>1308</v>
      </c>
      <c r="N195" s="4" t="s">
        <v>1309</v>
      </c>
      <c r="O195" s="4">
        <v>399.53</v>
      </c>
      <c r="P195" s="4">
        <v>10.85</v>
      </c>
      <c r="Q195" s="6">
        <v>74.2</v>
      </c>
      <c r="R195" s="4">
        <v>3.92</v>
      </c>
      <c r="S195" s="4">
        <v>4.95</v>
      </c>
      <c r="T195">
        <f t="shared" ref="T195:T258" si="16">LEFT(C195,5)-LEFT(D195,4)</f>
        <v>13.58</v>
      </c>
      <c r="U195" s="18">
        <v>76</v>
      </c>
      <c r="V195" s="18">
        <f t="shared" ref="V195:V258" si="17">LEFT(D195,4)+LEFT(G195,5)</f>
        <v>155.8</v>
      </c>
      <c r="W195" s="18">
        <f t="shared" ref="W195:W258" si="18">LEFT(G195,5)-LEFT(F195,5)</f>
        <v>12.93</v>
      </c>
      <c r="X195" s="18">
        <f t="shared" ref="X195:X258" si="19">SUM(J195:K195)</f>
        <v>947.1</v>
      </c>
      <c r="Y195" s="18"/>
      <c r="Z195" s="18"/>
    </row>
    <row r="196" ht="30" spans="1:31">
      <c r="A196">
        <v>2015</v>
      </c>
      <c r="B196" s="3">
        <v>46357</v>
      </c>
      <c r="C196" s="4" t="s">
        <v>1310</v>
      </c>
      <c r="D196" s="4" t="s">
        <v>1311</v>
      </c>
      <c r="E196" s="4" t="s">
        <v>1312</v>
      </c>
      <c r="F196" s="4" t="s">
        <v>1313</v>
      </c>
      <c r="G196" s="6" t="s">
        <v>1314</v>
      </c>
      <c r="H196" s="4" t="str">
        <f t="shared" si="15"/>
        <v>81.45</v>
      </c>
      <c r="I196" s="3">
        <v>46357</v>
      </c>
      <c r="J196" s="6">
        <v>472</v>
      </c>
      <c r="K196" s="6">
        <v>505.4</v>
      </c>
      <c r="L196" s="4" t="s">
        <v>1315</v>
      </c>
      <c r="M196" s="6" t="s">
        <v>1316</v>
      </c>
      <c r="N196" s="6" t="s">
        <v>1317</v>
      </c>
      <c r="O196" s="4">
        <v>401.44</v>
      </c>
      <c r="P196" s="4">
        <v>10.74</v>
      </c>
      <c r="Q196" s="6">
        <v>78.6</v>
      </c>
      <c r="R196" s="4">
        <v>3.65</v>
      </c>
      <c r="S196" s="4">
        <v>5.18</v>
      </c>
      <c r="T196">
        <f t="shared" si="16"/>
        <v>15.43</v>
      </c>
      <c r="U196" s="18">
        <v>74.2</v>
      </c>
      <c r="V196" s="18">
        <f t="shared" si="17"/>
        <v>155.65</v>
      </c>
      <c r="W196" s="18">
        <f t="shared" si="18"/>
        <v>14.56</v>
      </c>
      <c r="X196" s="18">
        <f t="shared" si="19"/>
        <v>977.4</v>
      </c>
      <c r="Y196" s="18">
        <f>AVERAGE(X185:X196)</f>
        <v>925.158333333333</v>
      </c>
      <c r="Z196" s="18">
        <f>AVERAGE(W185:W187)</f>
        <v>14.4033333333333</v>
      </c>
      <c r="AA196">
        <f>(SUM(U185:U196)-SUM(U191:U193))/9</f>
        <v>77.0777777777778</v>
      </c>
      <c r="AB196">
        <f>AVERAGE(T185:T196)</f>
        <v>11.0883333333333</v>
      </c>
      <c r="AC196">
        <f>(SUM(T185:T196)-T187-T188)/10</f>
        <v>11.557</v>
      </c>
      <c r="AD196">
        <f>AVERAGE(T185:T187)</f>
        <v>16.01</v>
      </c>
      <c r="AE196">
        <f>AVERAGE(V185:V196)</f>
        <v>155.8075</v>
      </c>
    </row>
    <row r="197" ht="60.75" spans="1:31">
      <c r="B197" s="6" t="s">
        <v>1318</v>
      </c>
      <c r="C197" s="6" t="s">
        <v>396</v>
      </c>
      <c r="D197" s="6" t="s">
        <v>8</v>
      </c>
      <c r="E197" s="6" t="s">
        <v>124</v>
      </c>
      <c r="F197" s="6" t="s">
        <v>10</v>
      </c>
      <c r="G197" s="6" t="s">
        <v>125</v>
      </c>
      <c r="H197" s="4" t="str">
        <f t="shared" si="15"/>
        <v>650 氢</v>
      </c>
      <c r="I197" s="6" t="s">
        <v>1318</v>
      </c>
      <c r="J197" s="6" t="s">
        <v>126</v>
      </c>
      <c r="K197" s="6" t="s">
        <v>126</v>
      </c>
      <c r="L197" s="6" t="s">
        <v>127</v>
      </c>
      <c r="M197" s="6" t="s">
        <v>15</v>
      </c>
      <c r="N197" s="6" t="s">
        <v>16</v>
      </c>
      <c r="O197" s="6" t="s">
        <v>17</v>
      </c>
      <c r="P197" s="6" t="s">
        <v>18</v>
      </c>
      <c r="Q197" s="6" t="s">
        <v>19</v>
      </c>
      <c r="R197" s="6" t="s">
        <v>128</v>
      </c>
      <c r="S197" s="6" t="s">
        <v>21</v>
      </c>
      <c r="T197" t="e">
        <f t="shared" si="16"/>
        <v>#VALUE!</v>
      </c>
      <c r="U197" s="19" t="s">
        <v>129</v>
      </c>
      <c r="V197" s="18" t="e">
        <f t="shared" si="17"/>
        <v>#VALUE!</v>
      </c>
      <c r="W197" s="18" t="e">
        <f t="shared" si="18"/>
        <v>#VALUE!</v>
      </c>
      <c r="X197" s="18">
        <f t="shared" si="19"/>
        <v>0</v>
      </c>
      <c r="Y197" s="18"/>
      <c r="Z197" s="18"/>
    </row>
    <row r="198" ht="30.75" spans="1:31">
      <c r="A198">
        <v>2016</v>
      </c>
      <c r="B198" s="3">
        <v>46023</v>
      </c>
      <c r="C198" s="4" t="s">
        <v>1319</v>
      </c>
      <c r="D198" s="4" t="s">
        <v>1320</v>
      </c>
      <c r="E198" s="4" t="s">
        <v>1321</v>
      </c>
      <c r="F198" s="4" t="s">
        <v>1322</v>
      </c>
      <c r="G198" s="6" t="s">
        <v>1323</v>
      </c>
      <c r="H198" s="4" t="str">
        <f t="shared" si="15"/>
        <v>80.85</v>
      </c>
      <c r="I198" s="3">
        <v>46023</v>
      </c>
      <c r="J198" s="6">
        <v>395</v>
      </c>
      <c r="K198" s="6">
        <v>492.6</v>
      </c>
      <c r="L198" s="6" t="s">
        <v>1324</v>
      </c>
      <c r="M198" s="6" t="s">
        <v>1316</v>
      </c>
      <c r="N198" s="6" t="s">
        <v>1317</v>
      </c>
      <c r="O198" s="4">
        <v>402.52</v>
      </c>
      <c r="P198" s="4">
        <v>10.78</v>
      </c>
      <c r="Q198" s="6">
        <v>62.5</v>
      </c>
      <c r="R198" s="4">
        <v>3.42</v>
      </c>
      <c r="S198" s="4">
        <v>4.92</v>
      </c>
      <c r="T198">
        <f t="shared" si="16"/>
        <v>17.67</v>
      </c>
      <c r="U198" s="18">
        <v>72</v>
      </c>
      <c r="V198" s="18">
        <f t="shared" si="17"/>
        <v>152.85</v>
      </c>
      <c r="W198" s="18">
        <f t="shared" si="18"/>
        <v>13.95</v>
      </c>
      <c r="X198" s="18">
        <f t="shared" si="19"/>
        <v>887.6</v>
      </c>
      <c r="Y198" s="18"/>
      <c r="Z198" s="18"/>
    </row>
    <row r="199" ht="29.25" spans="1:31">
      <c r="A199">
        <v>2016</v>
      </c>
      <c r="B199" s="3">
        <v>46054</v>
      </c>
      <c r="C199" s="4" t="s">
        <v>1325</v>
      </c>
      <c r="D199" s="4" t="s">
        <v>1326</v>
      </c>
      <c r="E199" s="4" t="s">
        <v>1327</v>
      </c>
      <c r="F199" s="4" t="s">
        <v>1328</v>
      </c>
      <c r="G199" s="4" t="s">
        <v>1329</v>
      </c>
      <c r="H199" s="4" t="str">
        <f t="shared" si="15"/>
        <v>79.90</v>
      </c>
      <c r="I199" s="3">
        <v>46054</v>
      </c>
      <c r="J199" s="6">
        <v>388</v>
      </c>
      <c r="K199" s="4">
        <v>485.4</v>
      </c>
      <c r="L199" s="4" t="s">
        <v>1330</v>
      </c>
      <c r="M199" s="4" t="s">
        <v>1308</v>
      </c>
      <c r="N199" s="6" t="s">
        <v>1331</v>
      </c>
      <c r="O199" s="4">
        <v>403.45</v>
      </c>
      <c r="P199" s="4">
        <v>10.85</v>
      </c>
      <c r="Q199" s="4">
        <v>52.4</v>
      </c>
      <c r="R199" s="4">
        <v>3.58</v>
      </c>
      <c r="S199" s="4">
        <v>4.65</v>
      </c>
      <c r="T199">
        <f t="shared" si="16"/>
        <v>17.21</v>
      </c>
      <c r="U199" s="18">
        <v>72.5</v>
      </c>
      <c r="V199" s="18">
        <f t="shared" si="17"/>
        <v>152.4</v>
      </c>
      <c r="W199" s="18">
        <f t="shared" si="18"/>
        <v>12.99</v>
      </c>
      <c r="X199" s="18">
        <f t="shared" si="19"/>
        <v>873.4</v>
      </c>
      <c r="Y199" s="18"/>
      <c r="Z199" s="18"/>
    </row>
    <row r="200" ht="42.75" spans="1:31">
      <c r="A200">
        <v>2016</v>
      </c>
      <c r="B200" s="3">
        <v>46082</v>
      </c>
      <c r="C200" s="4" t="s">
        <v>1332</v>
      </c>
      <c r="D200" s="4" t="s">
        <v>1333</v>
      </c>
      <c r="E200" s="4" t="s">
        <v>1334</v>
      </c>
      <c r="F200" s="4" t="s">
        <v>1335</v>
      </c>
      <c r="G200" s="4" t="s">
        <v>1336</v>
      </c>
      <c r="H200" s="4" t="str">
        <f t="shared" si="15"/>
        <v>78.15</v>
      </c>
      <c r="I200" s="3">
        <v>46082</v>
      </c>
      <c r="J200" s="6">
        <v>375</v>
      </c>
      <c r="K200" s="4">
        <v>468.1</v>
      </c>
      <c r="L200" s="4" t="s">
        <v>1337</v>
      </c>
      <c r="M200" s="4" t="s">
        <v>559</v>
      </c>
      <c r="N200" s="6" t="s">
        <v>1338</v>
      </c>
      <c r="O200" s="4">
        <v>404.31</v>
      </c>
      <c r="P200" s="4">
        <v>11.02</v>
      </c>
      <c r="Q200" s="4">
        <v>48.6</v>
      </c>
      <c r="R200" s="4">
        <v>4.05</v>
      </c>
      <c r="S200" s="4">
        <v>4.12</v>
      </c>
      <c r="T200">
        <f t="shared" si="16"/>
        <v>15.56</v>
      </c>
      <c r="U200" s="18">
        <v>74.2</v>
      </c>
      <c r="V200" s="18">
        <f t="shared" si="17"/>
        <v>152.35</v>
      </c>
      <c r="W200" s="18">
        <f t="shared" si="18"/>
        <v>11.22</v>
      </c>
      <c r="X200" s="18">
        <f t="shared" si="19"/>
        <v>843.1</v>
      </c>
      <c r="Y200" s="18"/>
      <c r="Z200" s="18"/>
    </row>
    <row r="201" ht="29.25" spans="1:31">
      <c r="A201">
        <v>2016</v>
      </c>
      <c r="B201" s="3">
        <v>46113</v>
      </c>
      <c r="C201" s="4" t="s">
        <v>1339</v>
      </c>
      <c r="D201" s="4" t="s">
        <v>1340</v>
      </c>
      <c r="E201" s="4" t="s">
        <v>1341</v>
      </c>
      <c r="F201" s="4" t="s">
        <v>1342</v>
      </c>
      <c r="G201" s="4" t="s">
        <v>1343</v>
      </c>
      <c r="H201" s="4" t="str">
        <f t="shared" si="15"/>
        <v>75.80</v>
      </c>
      <c r="I201" s="3">
        <v>46113</v>
      </c>
      <c r="J201" s="6">
        <v>362</v>
      </c>
      <c r="K201" s="4">
        <v>442.7</v>
      </c>
      <c r="L201" s="4" t="s">
        <v>1344</v>
      </c>
      <c r="M201" s="4" t="s">
        <v>1345</v>
      </c>
      <c r="N201" s="4" t="s">
        <v>1346</v>
      </c>
      <c r="O201" s="4">
        <v>406.33</v>
      </c>
      <c r="P201" s="4">
        <v>11.18</v>
      </c>
      <c r="Q201" s="4">
        <v>42.1</v>
      </c>
      <c r="R201" s="4">
        <v>4.62</v>
      </c>
      <c r="S201" s="4">
        <v>2.95</v>
      </c>
      <c r="T201">
        <f t="shared" si="16"/>
        <v>13.8</v>
      </c>
      <c r="U201" s="18">
        <v>76</v>
      </c>
      <c r="V201" s="18">
        <f t="shared" si="17"/>
        <v>151.8</v>
      </c>
      <c r="W201" s="18">
        <f t="shared" si="18"/>
        <v>8.86</v>
      </c>
      <c r="X201" s="18">
        <f t="shared" si="19"/>
        <v>804.7</v>
      </c>
      <c r="Y201" s="18"/>
      <c r="Z201" s="18"/>
    </row>
    <row r="202" ht="29.25" spans="1:31">
      <c r="A202">
        <v>2016</v>
      </c>
      <c r="B202" s="3">
        <v>46143</v>
      </c>
      <c r="C202" s="4" t="s">
        <v>1347</v>
      </c>
      <c r="D202" s="4" t="s">
        <v>1348</v>
      </c>
      <c r="E202" s="4" t="s">
        <v>1349</v>
      </c>
      <c r="F202" s="4" t="s">
        <v>1350</v>
      </c>
      <c r="G202" s="4" t="s">
        <v>1351</v>
      </c>
      <c r="H202" s="4" t="str">
        <f t="shared" si="15"/>
        <v>73.12</v>
      </c>
      <c r="I202" s="3">
        <v>46143</v>
      </c>
      <c r="J202" s="6">
        <v>350</v>
      </c>
      <c r="K202" s="4">
        <v>425.8</v>
      </c>
      <c r="L202" s="4" t="s">
        <v>1352</v>
      </c>
      <c r="M202" s="4" t="s">
        <v>1353</v>
      </c>
      <c r="N202" s="4" t="s">
        <v>1354</v>
      </c>
      <c r="O202" s="6">
        <v>407.01</v>
      </c>
      <c r="P202" s="4">
        <v>11.35</v>
      </c>
      <c r="Q202" s="4">
        <v>39.8</v>
      </c>
      <c r="R202" s="4">
        <v>5.25</v>
      </c>
      <c r="S202" s="4">
        <v>2.24</v>
      </c>
      <c r="T202">
        <f t="shared" si="16"/>
        <v>11.65</v>
      </c>
      <c r="U202" s="18">
        <v>78.2</v>
      </c>
      <c r="V202" s="18">
        <f t="shared" si="17"/>
        <v>151.32</v>
      </c>
      <c r="W202" s="18">
        <f t="shared" si="18"/>
        <v>6.17</v>
      </c>
      <c r="X202" s="18">
        <f t="shared" si="19"/>
        <v>775.8</v>
      </c>
      <c r="Y202" s="18"/>
      <c r="Z202" s="18"/>
    </row>
    <row r="203" ht="29.25" spans="1:31">
      <c r="A203">
        <v>2016</v>
      </c>
      <c r="B203" s="3">
        <v>46174</v>
      </c>
      <c r="C203" s="4" t="s">
        <v>1355</v>
      </c>
      <c r="D203" s="4" t="s">
        <v>1356</v>
      </c>
      <c r="E203" s="4" t="s">
        <v>1357</v>
      </c>
      <c r="F203" s="4" t="s">
        <v>1358</v>
      </c>
      <c r="G203" s="4" t="s">
        <v>1359</v>
      </c>
      <c r="H203" s="4" t="str">
        <f t="shared" si="15"/>
        <v>71.45</v>
      </c>
      <c r="I203" s="3">
        <v>46174</v>
      </c>
      <c r="J203" s="6">
        <v>342</v>
      </c>
      <c r="K203" s="4">
        <v>412.3</v>
      </c>
      <c r="L203" s="6" t="s">
        <v>1360</v>
      </c>
      <c r="M203" s="4" t="s">
        <v>1361</v>
      </c>
      <c r="N203" s="4" t="s">
        <v>1294</v>
      </c>
      <c r="O203" s="4">
        <v>406.12</v>
      </c>
      <c r="P203" s="4">
        <v>11.52</v>
      </c>
      <c r="Q203" s="4">
        <v>35.5</v>
      </c>
      <c r="R203" s="4">
        <v>5.98</v>
      </c>
      <c r="S203" s="4">
        <v>1.85</v>
      </c>
      <c r="T203">
        <f t="shared" si="16"/>
        <v>8.89</v>
      </c>
      <c r="U203" s="18">
        <v>81</v>
      </c>
      <c r="V203" s="18">
        <f t="shared" si="17"/>
        <v>152.45</v>
      </c>
      <c r="W203" s="18">
        <f t="shared" si="18"/>
        <v>4.49000000000001</v>
      </c>
      <c r="X203" s="18">
        <f t="shared" si="19"/>
        <v>754.3</v>
      </c>
      <c r="Y203" s="18"/>
      <c r="Z203" s="18"/>
    </row>
    <row r="204" ht="30" spans="1:31">
      <c r="A204">
        <v>2016</v>
      </c>
      <c r="B204" s="3">
        <v>46204</v>
      </c>
      <c r="C204" s="4" t="s">
        <v>1362</v>
      </c>
      <c r="D204" s="4" t="s">
        <v>1363</v>
      </c>
      <c r="E204" s="6" t="s">
        <v>1364</v>
      </c>
      <c r="F204" s="4" t="s">
        <v>1365</v>
      </c>
      <c r="G204" s="6" t="s">
        <v>1366</v>
      </c>
      <c r="H204" s="4" t="str">
        <f t="shared" si="15"/>
        <v>70.20</v>
      </c>
      <c r="I204" s="3">
        <v>46204</v>
      </c>
      <c r="J204" s="6">
        <v>335</v>
      </c>
      <c r="K204" s="6">
        <v>398.6</v>
      </c>
      <c r="L204" s="6" t="s">
        <v>1367</v>
      </c>
      <c r="M204" s="4" t="s">
        <v>1368</v>
      </c>
      <c r="N204" s="4" t="s">
        <v>1369</v>
      </c>
      <c r="O204" s="4">
        <v>394.39</v>
      </c>
      <c r="P204" s="6">
        <v>11.71</v>
      </c>
      <c r="Q204" s="4">
        <v>34.2</v>
      </c>
      <c r="R204" s="6">
        <v>6.45</v>
      </c>
      <c r="S204" s="6">
        <v>1.52</v>
      </c>
      <c r="T204">
        <f t="shared" si="16"/>
        <v>6.73999999999999</v>
      </c>
      <c r="U204" s="18">
        <v>83.2</v>
      </c>
      <c r="V204" s="18">
        <f t="shared" si="17"/>
        <v>153.4</v>
      </c>
      <c r="W204" s="18">
        <f t="shared" si="18"/>
        <v>3.23</v>
      </c>
      <c r="X204" s="18">
        <f t="shared" si="19"/>
        <v>733.6</v>
      </c>
      <c r="Y204" s="18"/>
      <c r="Z204" s="18"/>
    </row>
    <row r="205" ht="29.25" spans="1:31">
      <c r="A205">
        <v>2016</v>
      </c>
      <c r="B205" s="3">
        <v>46235</v>
      </c>
      <c r="C205" s="4" t="s">
        <v>1370</v>
      </c>
      <c r="D205" s="4" t="s">
        <v>1371</v>
      </c>
      <c r="E205" s="4" t="s">
        <v>1372</v>
      </c>
      <c r="F205" s="4" t="s">
        <v>1373</v>
      </c>
      <c r="G205" s="4" t="s">
        <v>1374</v>
      </c>
      <c r="H205" s="4" t="str">
        <f t="shared" si="15"/>
        <v>71.30</v>
      </c>
      <c r="I205" s="3">
        <v>46235</v>
      </c>
      <c r="J205" s="6">
        <v>338</v>
      </c>
      <c r="K205" s="4">
        <v>405.2</v>
      </c>
      <c r="L205" s="4" t="s">
        <v>1375</v>
      </c>
      <c r="M205" s="4" t="s">
        <v>1376</v>
      </c>
      <c r="N205" s="4" t="s">
        <v>1377</v>
      </c>
      <c r="O205" s="4">
        <v>401.74</v>
      </c>
      <c r="P205" s="6">
        <v>11.78</v>
      </c>
      <c r="Q205" s="4">
        <v>38.6</v>
      </c>
      <c r="R205" s="4">
        <v>5.72</v>
      </c>
      <c r="S205" s="4">
        <v>1.68</v>
      </c>
      <c r="T205">
        <f t="shared" si="16"/>
        <v>7.39</v>
      </c>
      <c r="U205" s="18">
        <v>82.5</v>
      </c>
      <c r="V205" s="18">
        <f t="shared" si="17"/>
        <v>153.8</v>
      </c>
      <c r="W205" s="18">
        <f t="shared" si="18"/>
        <v>4.31</v>
      </c>
      <c r="X205" s="18">
        <f t="shared" si="19"/>
        <v>743.2</v>
      </c>
      <c r="Y205" s="18"/>
      <c r="Z205" s="18"/>
    </row>
    <row r="206" ht="29.25" spans="1:31">
      <c r="A206">
        <v>2016</v>
      </c>
      <c r="B206" s="3">
        <v>46266</v>
      </c>
      <c r="C206" s="4" t="s">
        <v>1378</v>
      </c>
      <c r="D206" s="4" t="s">
        <v>1379</v>
      </c>
      <c r="E206" s="4" t="s">
        <v>1127</v>
      </c>
      <c r="F206" s="4" t="s">
        <v>1380</v>
      </c>
      <c r="G206" s="4" t="s">
        <v>1381</v>
      </c>
      <c r="H206" s="4" t="str">
        <f t="shared" si="15"/>
        <v>72.85</v>
      </c>
      <c r="I206" s="3">
        <v>46266</v>
      </c>
      <c r="J206" s="6">
        <v>348</v>
      </c>
      <c r="K206" s="4">
        <v>422.4</v>
      </c>
      <c r="L206" s="4" t="s">
        <v>1382</v>
      </c>
      <c r="M206" s="4" t="s">
        <v>1383</v>
      </c>
      <c r="N206" s="4" t="s">
        <v>1384</v>
      </c>
      <c r="O206" s="6">
        <v>400.33</v>
      </c>
      <c r="P206" s="4">
        <v>11.45</v>
      </c>
      <c r="Q206" s="4">
        <v>42.5</v>
      </c>
      <c r="R206" s="4">
        <v>4.82</v>
      </c>
      <c r="S206" s="4">
        <v>2.85</v>
      </c>
      <c r="T206">
        <f t="shared" si="16"/>
        <v>10.64</v>
      </c>
      <c r="U206" s="18">
        <v>79.2</v>
      </c>
      <c r="V206" s="18">
        <f t="shared" si="17"/>
        <v>152.05</v>
      </c>
      <c r="W206" s="18">
        <f t="shared" si="18"/>
        <v>5.84999999999999</v>
      </c>
      <c r="X206" s="18">
        <f t="shared" si="19"/>
        <v>770.4</v>
      </c>
      <c r="Y206" s="18"/>
      <c r="Z206" s="18"/>
    </row>
    <row r="207" ht="29.25" spans="1:31">
      <c r="A207">
        <v>2016</v>
      </c>
      <c r="B207" s="3">
        <v>46296</v>
      </c>
      <c r="C207" s="4" t="s">
        <v>1385</v>
      </c>
      <c r="D207" s="4" t="s">
        <v>547</v>
      </c>
      <c r="E207" s="4" t="s">
        <v>1386</v>
      </c>
      <c r="F207" s="4" t="s">
        <v>1387</v>
      </c>
      <c r="G207" s="4" t="s">
        <v>1388</v>
      </c>
      <c r="H207" s="4" t="str">
        <f t="shared" si="15"/>
        <v>74.90</v>
      </c>
      <c r="I207" s="3">
        <v>46296</v>
      </c>
      <c r="J207" s="6">
        <v>362</v>
      </c>
      <c r="K207" s="4">
        <v>445.7</v>
      </c>
      <c r="L207" s="4" t="s">
        <v>1389</v>
      </c>
      <c r="M207" s="4" t="s">
        <v>685</v>
      </c>
      <c r="N207" s="4" t="s">
        <v>1257</v>
      </c>
      <c r="O207" s="4">
        <v>400.78</v>
      </c>
      <c r="P207" s="4">
        <v>11.15</v>
      </c>
      <c r="Q207" s="6">
        <v>52.4</v>
      </c>
      <c r="R207" s="4">
        <v>4.25</v>
      </c>
      <c r="S207" s="4">
        <v>3.88</v>
      </c>
      <c r="T207">
        <f t="shared" si="16"/>
        <v>12.29</v>
      </c>
      <c r="U207" s="18">
        <v>77.5</v>
      </c>
      <c r="V207" s="18">
        <f t="shared" si="17"/>
        <v>152.4</v>
      </c>
      <c r="W207" s="18">
        <f t="shared" si="18"/>
        <v>7.89</v>
      </c>
      <c r="X207" s="18">
        <f t="shared" si="19"/>
        <v>807.7</v>
      </c>
      <c r="Y207" s="18"/>
      <c r="Z207" s="18"/>
    </row>
    <row r="208" ht="30" spans="1:31">
      <c r="A208">
        <v>2016</v>
      </c>
      <c r="B208" s="3">
        <v>46327</v>
      </c>
      <c r="C208" s="4" t="s">
        <v>1390</v>
      </c>
      <c r="D208" s="4" t="s">
        <v>1391</v>
      </c>
      <c r="E208" s="4" t="s">
        <v>1392</v>
      </c>
      <c r="F208" s="4" t="s">
        <v>1393</v>
      </c>
      <c r="G208" s="6" t="s">
        <v>1394</v>
      </c>
      <c r="H208" s="4" t="str">
        <f t="shared" si="15"/>
        <v>77.15</v>
      </c>
      <c r="I208" s="3">
        <v>46327</v>
      </c>
      <c r="J208" s="6">
        <v>375</v>
      </c>
      <c r="K208" s="4">
        <v>462.3</v>
      </c>
      <c r="L208" s="4" t="s">
        <v>1395</v>
      </c>
      <c r="M208" s="4" t="s">
        <v>1396</v>
      </c>
      <c r="N208" s="4" t="s">
        <v>1265</v>
      </c>
      <c r="O208" s="4">
        <v>402.19</v>
      </c>
      <c r="P208" s="4">
        <v>10.98</v>
      </c>
      <c r="Q208" s="6">
        <v>58.6</v>
      </c>
      <c r="R208" s="4">
        <v>3.68</v>
      </c>
      <c r="S208" s="4">
        <v>4.35</v>
      </c>
      <c r="T208">
        <f t="shared" si="16"/>
        <v>13.94</v>
      </c>
      <c r="U208" s="18">
        <v>75.8</v>
      </c>
      <c r="V208" s="18">
        <f t="shared" si="17"/>
        <v>152.95</v>
      </c>
      <c r="W208" s="18">
        <f t="shared" si="18"/>
        <v>10.13</v>
      </c>
      <c r="X208" s="18">
        <f t="shared" si="19"/>
        <v>837.3</v>
      </c>
      <c r="Y208" s="18"/>
      <c r="Z208" s="18"/>
    </row>
    <row r="209" ht="43.5" spans="1:31">
      <c r="A209">
        <v>2016</v>
      </c>
      <c r="B209" s="3">
        <v>46357</v>
      </c>
      <c r="C209" s="4" t="s">
        <v>1397</v>
      </c>
      <c r="D209" s="4" t="s">
        <v>1398</v>
      </c>
      <c r="E209" s="4" t="s">
        <v>1399</v>
      </c>
      <c r="F209" s="4" t="s">
        <v>1400</v>
      </c>
      <c r="G209" s="6" t="s">
        <v>1401</v>
      </c>
      <c r="H209" s="4" t="str">
        <f t="shared" si="15"/>
        <v>79.40</v>
      </c>
      <c r="I209" s="3">
        <v>46357</v>
      </c>
      <c r="J209" s="6">
        <v>382</v>
      </c>
      <c r="K209" s="6">
        <v>488.5</v>
      </c>
      <c r="L209" s="4" t="s">
        <v>1402</v>
      </c>
      <c r="M209" s="6" t="s">
        <v>1403</v>
      </c>
      <c r="N209" s="6" t="s">
        <v>575</v>
      </c>
      <c r="O209" s="4">
        <v>404.1</v>
      </c>
      <c r="P209" s="4">
        <v>10.85</v>
      </c>
      <c r="Q209" s="4">
        <v>46.5</v>
      </c>
      <c r="R209" s="4">
        <v>3.45</v>
      </c>
      <c r="S209" s="4">
        <v>4.58</v>
      </c>
      <c r="T209">
        <f t="shared" si="16"/>
        <v>15.69</v>
      </c>
      <c r="U209" s="18">
        <v>74</v>
      </c>
      <c r="V209" s="18">
        <f t="shared" si="17"/>
        <v>153.4</v>
      </c>
      <c r="W209" s="18">
        <f t="shared" si="18"/>
        <v>12.36</v>
      </c>
      <c r="X209" s="18">
        <f t="shared" si="19"/>
        <v>870.5</v>
      </c>
      <c r="Y209" s="18">
        <f>AVERAGE(X198:X209)</f>
        <v>808.466666666667</v>
      </c>
      <c r="Z209" s="18">
        <f>AVERAGE(W198:W200)</f>
        <v>12.72</v>
      </c>
      <c r="AA209">
        <f>(SUM(U198:U209)-SUM(U204:U206))/9</f>
        <v>75.6888888888889</v>
      </c>
      <c r="AB209">
        <f>AVERAGE(T198:T209)</f>
        <v>12.6225</v>
      </c>
      <c r="AC209">
        <f>SUM(T198:T209)/12</f>
        <v>12.6225</v>
      </c>
      <c r="AD209">
        <f>AVERAGE(T198:T200)</f>
        <v>16.8133333333333</v>
      </c>
      <c r="AE209">
        <f>AVERAGE(V198:V209)</f>
        <v>152.5975</v>
      </c>
    </row>
    <row r="210" ht="60.75" spans="1:31">
      <c r="B210" s="6" t="s">
        <v>1404</v>
      </c>
      <c r="C210" s="6" t="s">
        <v>396</v>
      </c>
      <c r="D210" s="6" t="s">
        <v>8</v>
      </c>
      <c r="E210" s="6" t="s">
        <v>124</v>
      </c>
      <c r="F210" s="6" t="s">
        <v>10</v>
      </c>
      <c r="G210" s="6" t="s">
        <v>125</v>
      </c>
      <c r="H210" s="4" t="str">
        <f t="shared" si="15"/>
        <v>650 氢</v>
      </c>
      <c r="I210" s="6" t="s">
        <v>1404</v>
      </c>
      <c r="J210" s="6" t="s">
        <v>126</v>
      </c>
      <c r="K210" s="6" t="s">
        <v>126</v>
      </c>
      <c r="L210" s="6" t="s">
        <v>127</v>
      </c>
      <c r="M210" s="6" t="s">
        <v>15</v>
      </c>
      <c r="N210" s="6" t="s">
        <v>16</v>
      </c>
      <c r="O210" s="6" t="s">
        <v>17</v>
      </c>
      <c r="P210" s="6" t="s">
        <v>18</v>
      </c>
      <c r="Q210" s="6" t="s">
        <v>19</v>
      </c>
      <c r="R210" s="6" t="s">
        <v>128</v>
      </c>
      <c r="S210" s="6" t="s">
        <v>21</v>
      </c>
      <c r="T210" t="e">
        <f t="shared" si="16"/>
        <v>#VALUE!</v>
      </c>
      <c r="U210" s="19" t="s">
        <v>129</v>
      </c>
      <c r="V210" s="18" t="e">
        <f t="shared" si="17"/>
        <v>#VALUE!</v>
      </c>
      <c r="W210" s="18" t="e">
        <f t="shared" si="18"/>
        <v>#VALUE!</v>
      </c>
      <c r="X210" s="18">
        <f t="shared" si="19"/>
        <v>0</v>
      </c>
      <c r="Y210" s="18"/>
      <c r="Z210" s="18"/>
    </row>
    <row r="211" ht="30.75" spans="1:31">
      <c r="A211">
        <v>2017</v>
      </c>
      <c r="B211" s="3">
        <v>46023</v>
      </c>
      <c r="C211" s="4" t="s">
        <v>1405</v>
      </c>
      <c r="D211" s="4" t="s">
        <v>1406</v>
      </c>
      <c r="E211" s="4" t="s">
        <v>1407</v>
      </c>
      <c r="F211" s="4" t="s">
        <v>1408</v>
      </c>
      <c r="G211" s="6" t="s">
        <v>1409</v>
      </c>
      <c r="H211" s="4" t="str">
        <f t="shared" si="15"/>
        <v>78.95</v>
      </c>
      <c r="I211" s="3">
        <v>46023</v>
      </c>
      <c r="J211" s="6">
        <v>410</v>
      </c>
      <c r="K211" s="6">
        <v>482.4</v>
      </c>
      <c r="L211" s="6" t="s">
        <v>1410</v>
      </c>
      <c r="M211" s="6" t="s">
        <v>1411</v>
      </c>
      <c r="N211" s="6" t="s">
        <v>1273</v>
      </c>
      <c r="O211" s="4">
        <v>405.37</v>
      </c>
      <c r="P211" s="4">
        <v>10.62</v>
      </c>
      <c r="Q211" s="4">
        <v>28.6</v>
      </c>
      <c r="R211" s="4">
        <v>3.28</v>
      </c>
      <c r="S211" s="4">
        <v>4.25</v>
      </c>
      <c r="T211">
        <f t="shared" si="16"/>
        <v>17.64</v>
      </c>
      <c r="U211" s="18">
        <v>72</v>
      </c>
      <c r="V211" s="18">
        <f t="shared" si="17"/>
        <v>150.95</v>
      </c>
      <c r="W211" s="18">
        <f t="shared" si="18"/>
        <v>11.9</v>
      </c>
      <c r="X211" s="18">
        <f t="shared" si="19"/>
        <v>892.4</v>
      </c>
      <c r="Y211" s="18"/>
      <c r="Z211" s="18"/>
    </row>
    <row r="212" ht="29.25" spans="1:31">
      <c r="A212">
        <v>2017</v>
      </c>
      <c r="B212" s="3">
        <v>46054</v>
      </c>
      <c r="C212" s="4" t="s">
        <v>1412</v>
      </c>
      <c r="D212" s="4" t="s">
        <v>1413</v>
      </c>
      <c r="E212" s="4" t="s">
        <v>1414</v>
      </c>
      <c r="F212" s="4" t="s">
        <v>1415</v>
      </c>
      <c r="G212" s="4" t="s">
        <v>1416</v>
      </c>
      <c r="H212" s="4" t="str">
        <f t="shared" si="15"/>
        <v>78.10</v>
      </c>
      <c r="I212" s="3">
        <v>46054</v>
      </c>
      <c r="J212" s="6">
        <v>412</v>
      </c>
      <c r="K212" s="4">
        <v>475.6</v>
      </c>
      <c r="L212" s="4" t="s">
        <v>1417</v>
      </c>
      <c r="M212" s="4" t="s">
        <v>733</v>
      </c>
      <c r="N212" s="4" t="s">
        <v>1309</v>
      </c>
      <c r="O212" s="4">
        <v>406.42</v>
      </c>
      <c r="P212" s="4">
        <v>10.68</v>
      </c>
      <c r="Q212" s="4">
        <v>29.5</v>
      </c>
      <c r="R212" s="4">
        <v>3.42</v>
      </c>
      <c r="S212" s="4">
        <v>3.98</v>
      </c>
      <c r="T212">
        <f t="shared" si="16"/>
        <v>17.09</v>
      </c>
      <c r="U212" s="18">
        <v>72.5</v>
      </c>
      <c r="V212" s="18">
        <f t="shared" si="17"/>
        <v>150.6</v>
      </c>
      <c r="W212" s="18">
        <f t="shared" si="18"/>
        <v>11.04</v>
      </c>
      <c r="X212" s="18">
        <f t="shared" si="19"/>
        <v>887.6</v>
      </c>
      <c r="Y212" s="18"/>
      <c r="Z212" s="18"/>
    </row>
    <row r="213" ht="42" spans="1:31">
      <c r="A213">
        <v>2017</v>
      </c>
      <c r="B213" s="3">
        <v>46082</v>
      </c>
      <c r="C213" s="4" t="s">
        <v>1418</v>
      </c>
      <c r="D213" s="4" t="s">
        <v>1419</v>
      </c>
      <c r="E213" s="4" t="s">
        <v>1420</v>
      </c>
      <c r="F213" s="4" t="s">
        <v>1421</v>
      </c>
      <c r="G213" s="4" t="s">
        <v>1422</v>
      </c>
      <c r="H213" s="4" t="str">
        <f t="shared" si="15"/>
        <v>77.25</v>
      </c>
      <c r="I213" s="3">
        <v>46082</v>
      </c>
      <c r="J213" s="6">
        <v>405</v>
      </c>
      <c r="K213" s="4">
        <v>452.8</v>
      </c>
      <c r="L213" s="4" t="s">
        <v>1423</v>
      </c>
      <c r="M213" s="4" t="s">
        <v>1424</v>
      </c>
      <c r="N213" s="4" t="s">
        <v>1301</v>
      </c>
      <c r="O213" s="4">
        <v>407.18</v>
      </c>
      <c r="P213" s="4">
        <v>10.79</v>
      </c>
      <c r="Q213" s="4">
        <v>32.8</v>
      </c>
      <c r="R213" s="4">
        <v>3.85</v>
      </c>
      <c r="S213" s="4">
        <v>3.65</v>
      </c>
      <c r="T213">
        <f t="shared" si="16"/>
        <v>15.54</v>
      </c>
      <c r="U213" s="18">
        <v>74</v>
      </c>
      <c r="V213" s="18">
        <f t="shared" si="17"/>
        <v>151.25</v>
      </c>
      <c r="W213" s="18">
        <f t="shared" si="18"/>
        <v>10.18</v>
      </c>
      <c r="X213" s="18">
        <f t="shared" si="19"/>
        <v>857.8</v>
      </c>
      <c r="Y213" s="18"/>
      <c r="Z213" s="18"/>
    </row>
    <row r="214" ht="29.25" spans="1:31">
      <c r="A214">
        <v>2017</v>
      </c>
      <c r="B214" s="3">
        <v>46113</v>
      </c>
      <c r="C214" s="4" t="s">
        <v>1425</v>
      </c>
      <c r="D214" s="4" t="s">
        <v>1426</v>
      </c>
      <c r="E214" s="4" t="s">
        <v>1427</v>
      </c>
      <c r="F214" s="4" t="s">
        <v>1428</v>
      </c>
      <c r="G214" s="4" t="s">
        <v>1429</v>
      </c>
      <c r="H214" s="4" t="str">
        <f t="shared" si="15"/>
        <v>75.40</v>
      </c>
      <c r="I214" s="3">
        <v>46113</v>
      </c>
      <c r="J214" s="6">
        <v>392</v>
      </c>
      <c r="K214" s="4">
        <v>430.5</v>
      </c>
      <c r="L214" s="4" t="s">
        <v>1430</v>
      </c>
      <c r="M214" s="4" t="s">
        <v>1396</v>
      </c>
      <c r="N214" s="4" t="s">
        <v>1249</v>
      </c>
      <c r="O214" s="4">
        <v>408.45</v>
      </c>
      <c r="P214" s="4">
        <v>10.95</v>
      </c>
      <c r="Q214" s="4">
        <v>35.1</v>
      </c>
      <c r="R214" s="4">
        <v>4.42</v>
      </c>
      <c r="S214" s="4">
        <v>2.52</v>
      </c>
      <c r="T214">
        <f t="shared" si="16"/>
        <v>13.69</v>
      </c>
      <c r="U214" s="18">
        <v>75.8</v>
      </c>
      <c r="V214" s="18">
        <f t="shared" si="17"/>
        <v>151.2</v>
      </c>
      <c r="W214" s="18">
        <f t="shared" si="18"/>
        <v>8.31</v>
      </c>
      <c r="X214" s="18">
        <f t="shared" si="19"/>
        <v>822.5</v>
      </c>
      <c r="Y214" s="18"/>
      <c r="Z214" s="18"/>
    </row>
    <row r="215" ht="29.25" spans="1:31">
      <c r="A215">
        <v>2017</v>
      </c>
      <c r="B215" s="3">
        <v>46143</v>
      </c>
      <c r="C215" s="4" t="s">
        <v>1431</v>
      </c>
      <c r="D215" s="4" t="s">
        <v>1432</v>
      </c>
      <c r="E215" s="4" t="s">
        <v>1433</v>
      </c>
      <c r="F215" s="4" t="s">
        <v>1434</v>
      </c>
      <c r="G215" s="4" t="s">
        <v>1435</v>
      </c>
      <c r="H215" s="4" t="str">
        <f t="shared" si="15"/>
        <v>73.15</v>
      </c>
      <c r="I215" s="3">
        <v>46143</v>
      </c>
      <c r="J215" s="6">
        <v>378</v>
      </c>
      <c r="K215" s="4">
        <v>412.3</v>
      </c>
      <c r="L215" s="4" t="s">
        <v>1436</v>
      </c>
      <c r="M215" s="4" t="s">
        <v>1437</v>
      </c>
      <c r="N215" s="4" t="s">
        <v>575</v>
      </c>
      <c r="O215" s="6">
        <v>409.65</v>
      </c>
      <c r="P215" s="4">
        <v>11.12</v>
      </c>
      <c r="Q215" s="4">
        <v>31.4</v>
      </c>
      <c r="R215" s="4">
        <v>5.12</v>
      </c>
      <c r="S215" s="4">
        <v>1.95</v>
      </c>
      <c r="T215">
        <f t="shared" si="16"/>
        <v>11.44</v>
      </c>
      <c r="U215" s="18">
        <v>78</v>
      </c>
      <c r="V215" s="18">
        <f t="shared" si="17"/>
        <v>151.15</v>
      </c>
      <c r="W215" s="18">
        <f t="shared" si="18"/>
        <v>6.05000000000001</v>
      </c>
      <c r="X215" s="18">
        <f t="shared" si="19"/>
        <v>790.3</v>
      </c>
      <c r="Y215" s="18"/>
      <c r="Z215" s="18"/>
    </row>
    <row r="216" ht="29.25" spans="1:31">
      <c r="A216">
        <v>2017</v>
      </c>
      <c r="B216" s="3">
        <v>46174</v>
      </c>
      <c r="C216" s="4" t="s">
        <v>1438</v>
      </c>
      <c r="D216" s="4" t="s">
        <v>1439</v>
      </c>
      <c r="E216" s="4" t="s">
        <v>1440</v>
      </c>
      <c r="F216" s="4" t="s">
        <v>1441</v>
      </c>
      <c r="G216" s="4" t="s">
        <v>1442</v>
      </c>
      <c r="H216" s="4" t="str">
        <f t="shared" si="15"/>
        <v>71.90</v>
      </c>
      <c r="I216" s="3">
        <v>46174</v>
      </c>
      <c r="J216" s="6">
        <v>365</v>
      </c>
      <c r="K216" s="4">
        <v>398.7</v>
      </c>
      <c r="L216" s="6" t="s">
        <v>1443</v>
      </c>
      <c r="M216" s="4" t="s">
        <v>1444</v>
      </c>
      <c r="N216" s="4" t="s">
        <v>1214</v>
      </c>
      <c r="O216" s="4">
        <v>409.22</v>
      </c>
      <c r="P216" s="4">
        <v>11.31</v>
      </c>
      <c r="Q216" s="4">
        <v>28.2</v>
      </c>
      <c r="R216" s="4">
        <v>5.82</v>
      </c>
      <c r="S216" s="4">
        <v>1.55</v>
      </c>
      <c r="T216">
        <f t="shared" si="16"/>
        <v>8.59</v>
      </c>
      <c r="U216" s="18">
        <v>80.8</v>
      </c>
      <c r="V216" s="18">
        <f t="shared" si="17"/>
        <v>152.7</v>
      </c>
      <c r="W216" s="18">
        <f t="shared" si="18"/>
        <v>4.79000000000001</v>
      </c>
      <c r="X216" s="18">
        <f t="shared" si="19"/>
        <v>763.7</v>
      </c>
      <c r="Y216" s="18"/>
      <c r="Z216" s="18"/>
    </row>
    <row r="217" ht="41.25" spans="1:31">
      <c r="A217">
        <v>2017</v>
      </c>
      <c r="B217" s="3">
        <v>46204</v>
      </c>
      <c r="C217" s="4" t="s">
        <v>1445</v>
      </c>
      <c r="D217" s="4" t="s">
        <v>1446</v>
      </c>
      <c r="E217" s="6" t="s">
        <v>1447</v>
      </c>
      <c r="F217" s="4" t="s">
        <v>1448</v>
      </c>
      <c r="G217" s="6" t="s">
        <v>1449</v>
      </c>
      <c r="H217" s="4" t="str">
        <f t="shared" si="15"/>
        <v>70.40</v>
      </c>
      <c r="I217" s="3">
        <v>46204</v>
      </c>
      <c r="J217" s="6">
        <v>358</v>
      </c>
      <c r="K217" s="6">
        <v>392.4</v>
      </c>
      <c r="L217" s="6" t="s">
        <v>1450</v>
      </c>
      <c r="M217" s="4" t="s">
        <v>756</v>
      </c>
      <c r="N217" s="4" t="s">
        <v>1451</v>
      </c>
      <c r="O217" s="4">
        <v>407.25</v>
      </c>
      <c r="P217" s="6">
        <v>11.48</v>
      </c>
      <c r="Q217" s="4">
        <v>27.5</v>
      </c>
      <c r="R217" s="6">
        <v>6.25</v>
      </c>
      <c r="S217" s="6">
        <v>1.28</v>
      </c>
      <c r="T217">
        <f t="shared" si="16"/>
        <v>6.34</v>
      </c>
      <c r="U217" s="18">
        <v>83</v>
      </c>
      <c r="V217" s="18">
        <f t="shared" si="17"/>
        <v>153.4</v>
      </c>
      <c r="W217" s="18">
        <f t="shared" si="18"/>
        <v>3.28</v>
      </c>
      <c r="X217" s="18">
        <f t="shared" si="19"/>
        <v>750.4</v>
      </c>
      <c r="Y217" s="18"/>
      <c r="Z217" s="18"/>
    </row>
    <row r="218" ht="29.25" spans="1:31">
      <c r="A218">
        <v>2017</v>
      </c>
      <c r="B218" s="3">
        <v>46235</v>
      </c>
      <c r="C218" s="4" t="s">
        <v>1452</v>
      </c>
      <c r="D218" s="4" t="s">
        <v>1453</v>
      </c>
      <c r="E218" s="4" t="s">
        <v>1454</v>
      </c>
      <c r="F218" s="4" t="s">
        <v>1455</v>
      </c>
      <c r="G218" s="4" t="s">
        <v>1456</v>
      </c>
      <c r="H218" s="4" t="str">
        <f t="shared" si="15"/>
        <v>71.20</v>
      </c>
      <c r="I218" s="3">
        <v>46235</v>
      </c>
      <c r="J218" s="6">
        <v>362</v>
      </c>
      <c r="K218" s="4">
        <v>398.6</v>
      </c>
      <c r="L218" s="4" t="s">
        <v>1457</v>
      </c>
      <c r="M218" s="4" t="s">
        <v>763</v>
      </c>
      <c r="N218" s="4" t="s">
        <v>567</v>
      </c>
      <c r="O218" s="4">
        <v>405.07</v>
      </c>
      <c r="P218" s="6">
        <v>11.54</v>
      </c>
      <c r="Q218" s="4">
        <v>29.8</v>
      </c>
      <c r="R218" s="4">
        <v>5.45</v>
      </c>
      <c r="S218" s="4">
        <v>1.42</v>
      </c>
      <c r="T218">
        <f t="shared" si="16"/>
        <v>7.09</v>
      </c>
      <c r="U218" s="18">
        <v>82.2</v>
      </c>
      <c r="V218" s="18">
        <f t="shared" si="17"/>
        <v>153.4</v>
      </c>
      <c r="W218" s="18">
        <f t="shared" si="18"/>
        <v>4.06</v>
      </c>
      <c r="X218" s="18">
        <f t="shared" si="19"/>
        <v>760.6</v>
      </c>
      <c r="Y218" s="18"/>
      <c r="Z218" s="18"/>
    </row>
    <row r="219" ht="29.25" spans="1:31">
      <c r="A219">
        <v>2017</v>
      </c>
      <c r="B219" s="3">
        <v>46266</v>
      </c>
      <c r="C219" s="4" t="s">
        <v>1458</v>
      </c>
      <c r="D219" s="4" t="s">
        <v>1126</v>
      </c>
      <c r="E219" s="4" t="s">
        <v>1127</v>
      </c>
      <c r="F219" s="4" t="s">
        <v>1459</v>
      </c>
      <c r="G219" s="4" t="s">
        <v>1460</v>
      </c>
      <c r="H219" s="4" t="str">
        <f t="shared" si="15"/>
        <v>72.85</v>
      </c>
      <c r="I219" s="3">
        <v>46266</v>
      </c>
      <c r="J219" s="6">
        <v>375</v>
      </c>
      <c r="K219" s="4">
        <v>415.2</v>
      </c>
      <c r="L219" s="4" t="s">
        <v>1461</v>
      </c>
      <c r="M219" s="6" t="s">
        <v>631</v>
      </c>
      <c r="N219" s="4" t="s">
        <v>424</v>
      </c>
      <c r="O219" s="6">
        <v>403.38</v>
      </c>
      <c r="P219" s="4">
        <v>11.25</v>
      </c>
      <c r="Q219" s="6">
        <v>58.6</v>
      </c>
      <c r="R219" s="4">
        <v>4.65</v>
      </c>
      <c r="S219" s="4">
        <v>2.58</v>
      </c>
      <c r="T219">
        <f t="shared" si="16"/>
        <v>9.73999999999999</v>
      </c>
      <c r="U219" s="18">
        <v>79.5</v>
      </c>
      <c r="V219" s="18">
        <f t="shared" si="17"/>
        <v>152.35</v>
      </c>
      <c r="W219" s="18">
        <f t="shared" si="18"/>
        <v>5.69999999999999</v>
      </c>
      <c r="X219" s="18">
        <f t="shared" si="19"/>
        <v>790.2</v>
      </c>
      <c r="Y219" s="18"/>
      <c r="Z219" s="18"/>
    </row>
    <row r="220" ht="29.25" spans="1:31">
      <c r="A220">
        <v>2017</v>
      </c>
      <c r="B220" s="3">
        <v>46296</v>
      </c>
      <c r="C220" s="4" t="s">
        <v>1462</v>
      </c>
      <c r="D220" s="4" t="s">
        <v>633</v>
      </c>
      <c r="E220" s="4" t="s">
        <v>1463</v>
      </c>
      <c r="F220" s="4" t="s">
        <v>1464</v>
      </c>
      <c r="G220" s="4" t="s">
        <v>1465</v>
      </c>
      <c r="H220" s="4" t="str">
        <f t="shared" si="15"/>
        <v>74.30</v>
      </c>
      <c r="I220" s="3">
        <v>46296</v>
      </c>
      <c r="J220" s="6">
        <v>388</v>
      </c>
      <c r="K220" s="4">
        <v>432.8</v>
      </c>
      <c r="L220" s="4" t="s">
        <v>1466</v>
      </c>
      <c r="M220" s="4" t="s">
        <v>1467</v>
      </c>
      <c r="N220" s="4" t="s">
        <v>1468</v>
      </c>
      <c r="O220" s="4">
        <v>403.63</v>
      </c>
      <c r="P220" s="4">
        <v>10.94</v>
      </c>
      <c r="Q220" s="6">
        <v>52.4</v>
      </c>
      <c r="R220" s="6">
        <v>3.22</v>
      </c>
      <c r="S220" s="6">
        <v>5.45</v>
      </c>
      <c r="T220">
        <f t="shared" si="16"/>
        <v>11.99</v>
      </c>
      <c r="U220" s="18">
        <v>77.2</v>
      </c>
      <c r="V220" s="18">
        <f t="shared" si="17"/>
        <v>151.5</v>
      </c>
      <c r="W220" s="18">
        <f t="shared" si="18"/>
        <v>7.14</v>
      </c>
      <c r="X220" s="18">
        <f t="shared" si="19"/>
        <v>820.8</v>
      </c>
      <c r="Y220" s="18"/>
      <c r="Z220" s="18"/>
    </row>
    <row r="221" ht="30" spans="1:31">
      <c r="A221">
        <v>2017</v>
      </c>
      <c r="B221" s="3">
        <v>46327</v>
      </c>
      <c r="C221" s="4" t="s">
        <v>1469</v>
      </c>
      <c r="D221" s="4" t="s">
        <v>1470</v>
      </c>
      <c r="E221" s="4" t="s">
        <v>1471</v>
      </c>
      <c r="F221" s="4" t="s">
        <v>1472</v>
      </c>
      <c r="G221" s="6" t="s">
        <v>1473</v>
      </c>
      <c r="H221" s="4" t="str">
        <f t="shared" si="15"/>
        <v>76.85</v>
      </c>
      <c r="I221" s="3">
        <v>46327</v>
      </c>
      <c r="J221" s="6">
        <v>398</v>
      </c>
      <c r="K221" s="4">
        <v>450.6</v>
      </c>
      <c r="L221" s="4" t="s">
        <v>1474</v>
      </c>
      <c r="M221" s="4" t="s">
        <v>1475</v>
      </c>
      <c r="N221" s="4" t="s">
        <v>301</v>
      </c>
      <c r="O221" s="4">
        <v>405.14</v>
      </c>
      <c r="P221" s="4">
        <v>10.78</v>
      </c>
      <c r="Q221" s="6">
        <v>56.8</v>
      </c>
      <c r="R221" s="4">
        <v>3.45</v>
      </c>
      <c r="S221" s="4">
        <v>4.25</v>
      </c>
      <c r="T221">
        <f t="shared" si="16"/>
        <v>13.64</v>
      </c>
      <c r="U221" s="18">
        <v>75.5</v>
      </c>
      <c r="V221" s="18">
        <f t="shared" si="17"/>
        <v>152.35</v>
      </c>
      <c r="W221" s="18">
        <f t="shared" si="18"/>
        <v>9.67999999999999</v>
      </c>
      <c r="X221" s="18">
        <f t="shared" si="19"/>
        <v>848.6</v>
      </c>
      <c r="Y221" s="18"/>
      <c r="Z221" s="18"/>
    </row>
    <row r="222" ht="42.75" spans="1:31">
      <c r="A222">
        <v>2017</v>
      </c>
      <c r="B222" s="3">
        <v>46357</v>
      </c>
      <c r="C222" s="4" t="s">
        <v>1476</v>
      </c>
      <c r="D222" s="4" t="s">
        <v>1477</v>
      </c>
      <c r="E222" s="4" t="s">
        <v>1478</v>
      </c>
      <c r="F222" s="4" t="s">
        <v>1479</v>
      </c>
      <c r="G222" s="6" t="s">
        <v>1480</v>
      </c>
      <c r="H222" s="4" t="str">
        <f t="shared" si="15"/>
        <v>78.20</v>
      </c>
      <c r="I222" s="3">
        <v>46357</v>
      </c>
      <c r="J222" s="6">
        <v>415</v>
      </c>
      <c r="K222" s="6">
        <v>472.3</v>
      </c>
      <c r="L222" s="4" t="s">
        <v>1481</v>
      </c>
      <c r="M222" s="6" t="s">
        <v>1482</v>
      </c>
      <c r="N222" s="6" t="s">
        <v>473</v>
      </c>
      <c r="O222" s="4">
        <v>406.81</v>
      </c>
      <c r="P222" s="4">
        <v>10.68</v>
      </c>
      <c r="Q222" s="4">
        <v>38.5</v>
      </c>
      <c r="R222" s="4">
        <v>3.15</v>
      </c>
      <c r="S222" s="4">
        <v>3.88</v>
      </c>
      <c r="T222">
        <f t="shared" si="16"/>
        <v>15.29</v>
      </c>
      <c r="U222" s="18">
        <v>73.8</v>
      </c>
      <c r="V222" s="18">
        <f t="shared" si="17"/>
        <v>152</v>
      </c>
      <c r="W222" s="18">
        <f t="shared" si="18"/>
        <v>11.01</v>
      </c>
      <c r="X222" s="18">
        <f t="shared" si="19"/>
        <v>887.3</v>
      </c>
      <c r="Y222" s="18">
        <f>AVERAGE(X211:X222)</f>
        <v>822.683333333333</v>
      </c>
      <c r="Z222" s="18">
        <f>AVERAGE(W211:W213)</f>
        <v>11.04</v>
      </c>
      <c r="AA222">
        <f>(SUM(U211:U222)-SUM(U217:U219))/9</f>
        <v>75.5111111111111</v>
      </c>
      <c r="AB222">
        <f>AVERAGE(T211:T222)</f>
        <v>12.34</v>
      </c>
      <c r="AC222">
        <f>SUM(T211:T222)/12</f>
        <v>12.34</v>
      </c>
      <c r="AD222">
        <f>AVERAGE(T211:T213)</f>
        <v>16.7566666666667</v>
      </c>
      <c r="AE222">
        <f>AVERAGE(V211:V222)</f>
        <v>151.904166666667</v>
      </c>
    </row>
    <row r="223" ht="60.75" spans="1:31">
      <c r="B223" s="6" t="s">
        <v>1483</v>
      </c>
      <c r="C223" s="6" t="s">
        <v>396</v>
      </c>
      <c r="D223" s="6" t="s">
        <v>8</v>
      </c>
      <c r="E223" s="6" t="s">
        <v>124</v>
      </c>
      <c r="F223" s="6" t="s">
        <v>10</v>
      </c>
      <c r="G223" s="6" t="s">
        <v>125</v>
      </c>
      <c r="H223" s="4" t="str">
        <f t="shared" si="15"/>
        <v>650 氢</v>
      </c>
      <c r="I223" s="6" t="s">
        <v>1483</v>
      </c>
      <c r="J223" s="6" t="s">
        <v>126</v>
      </c>
      <c r="K223" s="6" t="s">
        <v>126</v>
      </c>
      <c r="L223" s="6" t="s">
        <v>127</v>
      </c>
      <c r="M223" s="6" t="s">
        <v>15</v>
      </c>
      <c r="N223" s="6" t="s">
        <v>16</v>
      </c>
      <c r="O223" s="6" t="s">
        <v>17</v>
      </c>
      <c r="P223" s="6" t="s">
        <v>18</v>
      </c>
      <c r="Q223" s="6" t="s">
        <v>19</v>
      </c>
      <c r="R223" s="6" t="s">
        <v>128</v>
      </c>
      <c r="S223" s="6" t="s">
        <v>21</v>
      </c>
      <c r="T223" t="e">
        <f t="shared" si="16"/>
        <v>#VALUE!</v>
      </c>
      <c r="U223" s="19" t="s">
        <v>129</v>
      </c>
      <c r="V223" s="18" t="e">
        <f t="shared" si="17"/>
        <v>#VALUE!</v>
      </c>
      <c r="W223" s="18" t="e">
        <f t="shared" si="18"/>
        <v>#VALUE!</v>
      </c>
      <c r="X223" s="18">
        <f t="shared" si="19"/>
        <v>0</v>
      </c>
      <c r="Y223" s="18"/>
      <c r="Z223" s="18"/>
    </row>
    <row r="224" ht="30" spans="1:31">
      <c r="A224">
        <v>2018</v>
      </c>
      <c r="B224" s="3">
        <v>46023</v>
      </c>
      <c r="C224" s="4" t="s">
        <v>1484</v>
      </c>
      <c r="D224" s="4" t="s">
        <v>1485</v>
      </c>
      <c r="E224" s="4" t="s">
        <v>1486</v>
      </c>
      <c r="F224" s="4" t="s">
        <v>1487</v>
      </c>
      <c r="G224" s="6" t="s">
        <v>1488</v>
      </c>
      <c r="H224" s="4" t="str">
        <f t="shared" si="15"/>
        <v>77.85</v>
      </c>
      <c r="I224" s="3">
        <v>46023</v>
      </c>
      <c r="J224" s="6">
        <v>425</v>
      </c>
      <c r="K224" s="6">
        <v>475.2</v>
      </c>
      <c r="L224" s="6" t="s">
        <v>1489</v>
      </c>
      <c r="M224" s="6" t="s">
        <v>1482</v>
      </c>
      <c r="N224" s="6" t="s">
        <v>331</v>
      </c>
      <c r="O224" s="4">
        <v>407.98</v>
      </c>
      <c r="P224" s="4">
        <v>10.58</v>
      </c>
      <c r="Q224" s="4">
        <v>22.1</v>
      </c>
      <c r="R224" s="4">
        <v>3.15</v>
      </c>
      <c r="S224" s="4">
        <v>3.82</v>
      </c>
      <c r="T224">
        <f t="shared" si="16"/>
        <v>17.05</v>
      </c>
      <c r="U224" s="18">
        <v>72</v>
      </c>
      <c r="V224" s="18">
        <f t="shared" si="17"/>
        <v>149.85</v>
      </c>
      <c r="W224" s="18">
        <f t="shared" si="18"/>
        <v>10.65</v>
      </c>
      <c r="X224" s="18">
        <f t="shared" si="19"/>
        <v>900.2</v>
      </c>
      <c r="Y224" s="18"/>
      <c r="Z224" s="18"/>
    </row>
    <row r="225" ht="29.25" spans="1:31">
      <c r="A225">
        <v>2018</v>
      </c>
      <c r="B225" s="3">
        <v>46054</v>
      </c>
      <c r="C225" s="4" t="s">
        <v>1490</v>
      </c>
      <c r="D225" s="4" t="s">
        <v>1491</v>
      </c>
      <c r="E225" s="4" t="s">
        <v>1492</v>
      </c>
      <c r="F225" s="4" t="s">
        <v>1493</v>
      </c>
      <c r="G225" s="4" t="s">
        <v>1494</v>
      </c>
      <c r="H225" s="4" t="str">
        <f t="shared" si="15"/>
        <v>77.10</v>
      </c>
      <c r="I225" s="3">
        <v>46054</v>
      </c>
      <c r="J225" s="6">
        <v>428</v>
      </c>
      <c r="K225" s="4">
        <v>468.4</v>
      </c>
      <c r="L225" s="4" t="s">
        <v>1495</v>
      </c>
      <c r="M225" s="4" t="s">
        <v>1496</v>
      </c>
      <c r="N225" s="4" t="s">
        <v>465</v>
      </c>
      <c r="O225" s="4">
        <v>408.35</v>
      </c>
      <c r="P225" s="4">
        <v>10.65</v>
      </c>
      <c r="Q225" s="4">
        <v>22.5</v>
      </c>
      <c r="R225" s="4">
        <v>3.28</v>
      </c>
      <c r="S225" s="4">
        <v>3.55</v>
      </c>
      <c r="T225">
        <f t="shared" si="16"/>
        <v>16.2</v>
      </c>
      <c r="U225" s="18">
        <v>72.8</v>
      </c>
      <c r="V225" s="18">
        <f t="shared" si="17"/>
        <v>149.9</v>
      </c>
      <c r="W225" s="18">
        <f t="shared" si="18"/>
        <v>9.89</v>
      </c>
      <c r="X225" s="18">
        <f t="shared" si="19"/>
        <v>896.4</v>
      </c>
      <c r="Y225" s="18"/>
      <c r="Z225" s="18"/>
    </row>
    <row r="226" ht="29.25" spans="1:31">
      <c r="A226">
        <v>2018</v>
      </c>
      <c r="B226" s="3">
        <v>46082</v>
      </c>
      <c r="C226" s="4" t="s">
        <v>1497</v>
      </c>
      <c r="D226" s="4" t="s">
        <v>1498</v>
      </c>
      <c r="E226" s="4" t="s">
        <v>1499</v>
      </c>
      <c r="F226" s="4" t="s">
        <v>1500</v>
      </c>
      <c r="G226" s="4" t="s">
        <v>1501</v>
      </c>
      <c r="H226" s="4" t="str">
        <f t="shared" si="15"/>
        <v>76.25</v>
      </c>
      <c r="I226" s="3">
        <v>46082</v>
      </c>
      <c r="J226" s="6">
        <v>420</v>
      </c>
      <c r="K226" s="4">
        <v>445.1</v>
      </c>
      <c r="L226" s="4" t="s">
        <v>1502</v>
      </c>
      <c r="M226" s="4" t="s">
        <v>1503</v>
      </c>
      <c r="N226" s="4" t="s">
        <v>481</v>
      </c>
      <c r="O226" s="4">
        <v>409.41</v>
      </c>
      <c r="P226" s="4">
        <v>10.74</v>
      </c>
      <c r="Q226" s="4">
        <v>25.8</v>
      </c>
      <c r="R226" s="4">
        <v>3.62</v>
      </c>
      <c r="S226" s="4">
        <v>3.38</v>
      </c>
      <c r="T226">
        <f t="shared" si="16"/>
        <v>14.95</v>
      </c>
      <c r="U226" s="18">
        <v>74</v>
      </c>
      <c r="V226" s="18">
        <f t="shared" si="17"/>
        <v>150.25</v>
      </c>
      <c r="W226" s="18">
        <f t="shared" si="18"/>
        <v>9.02</v>
      </c>
      <c r="X226" s="18">
        <f t="shared" si="19"/>
        <v>865.1</v>
      </c>
      <c r="Y226" s="18"/>
      <c r="Z226" s="18"/>
    </row>
    <row r="227" ht="30.75" spans="1:31">
      <c r="A227">
        <v>2018</v>
      </c>
      <c r="B227" s="3">
        <v>46113</v>
      </c>
      <c r="C227" s="4" t="s">
        <v>1504</v>
      </c>
      <c r="D227" s="4" t="s">
        <v>1505</v>
      </c>
      <c r="E227" s="6" t="s">
        <v>1506</v>
      </c>
      <c r="F227" s="4" t="s">
        <v>1507</v>
      </c>
      <c r="G227" s="4" t="s">
        <v>1508</v>
      </c>
      <c r="H227" s="4" t="str">
        <f t="shared" si="15"/>
        <v>74.90</v>
      </c>
      <c r="I227" s="3">
        <v>46113</v>
      </c>
      <c r="J227" s="6">
        <v>412</v>
      </c>
      <c r="K227" s="4">
        <v>422.8</v>
      </c>
      <c r="L227" s="4" t="s">
        <v>1509</v>
      </c>
      <c r="M227" s="4" t="s">
        <v>770</v>
      </c>
      <c r="N227" s="4" t="s">
        <v>473</v>
      </c>
      <c r="O227" s="6">
        <v>410.31</v>
      </c>
      <c r="P227" s="4">
        <v>10.89</v>
      </c>
      <c r="Q227" s="4">
        <v>26.4</v>
      </c>
      <c r="R227" s="4">
        <v>4.18</v>
      </c>
      <c r="S227" s="4">
        <v>2.12</v>
      </c>
      <c r="T227">
        <f t="shared" si="16"/>
        <v>13.4</v>
      </c>
      <c r="U227" s="18">
        <v>75.5</v>
      </c>
      <c r="V227" s="18">
        <f t="shared" si="17"/>
        <v>150.4</v>
      </c>
      <c r="W227" s="18">
        <f t="shared" si="18"/>
        <v>7.66000000000001</v>
      </c>
      <c r="X227" s="18">
        <f t="shared" si="19"/>
        <v>834.8</v>
      </c>
      <c r="Y227" s="18"/>
      <c r="Z227" s="18"/>
    </row>
    <row r="228" ht="29.25" spans="1:31">
      <c r="A228">
        <v>2018</v>
      </c>
      <c r="B228" s="3">
        <v>46143</v>
      </c>
      <c r="C228" s="4" t="s">
        <v>1510</v>
      </c>
      <c r="D228" s="4" t="s">
        <v>1511</v>
      </c>
      <c r="E228" s="4" t="s">
        <v>1512</v>
      </c>
      <c r="F228" s="4" t="s">
        <v>1513</v>
      </c>
      <c r="G228" s="4" t="s">
        <v>1514</v>
      </c>
      <c r="H228" s="4" t="str">
        <f t="shared" si="15"/>
        <v>72.80</v>
      </c>
      <c r="I228" s="3">
        <v>46143</v>
      </c>
      <c r="J228" s="6">
        <v>398</v>
      </c>
      <c r="K228" s="4">
        <v>405.6</v>
      </c>
      <c r="L228" s="4" t="s">
        <v>1515</v>
      </c>
      <c r="M228" s="4" t="s">
        <v>1516</v>
      </c>
      <c r="N228" s="6" t="s">
        <v>1468</v>
      </c>
      <c r="O228" s="6">
        <v>411.31</v>
      </c>
      <c r="P228" s="4">
        <v>11.08</v>
      </c>
      <c r="Q228" s="4">
        <v>28.2</v>
      </c>
      <c r="R228" s="4">
        <v>4.75</v>
      </c>
      <c r="S228" s="4">
        <v>1.55</v>
      </c>
      <c r="T228">
        <f t="shared" si="16"/>
        <v>11.05</v>
      </c>
      <c r="U228" s="18">
        <v>77.8</v>
      </c>
      <c r="V228" s="18">
        <f t="shared" si="17"/>
        <v>150.6</v>
      </c>
      <c r="W228" s="18">
        <f t="shared" si="18"/>
        <v>5.55</v>
      </c>
      <c r="X228" s="18">
        <f t="shared" si="19"/>
        <v>803.6</v>
      </c>
      <c r="Y228" s="18"/>
      <c r="Z228" s="18"/>
    </row>
    <row r="229" ht="42.75" spans="1:31">
      <c r="A229">
        <v>2018</v>
      </c>
      <c r="B229" s="3">
        <v>46174</v>
      </c>
      <c r="C229" s="4" t="s">
        <v>1517</v>
      </c>
      <c r="D229" s="4" t="s">
        <v>696</v>
      </c>
      <c r="E229" s="4" t="s">
        <v>1518</v>
      </c>
      <c r="F229" s="4" t="s">
        <v>1519</v>
      </c>
      <c r="G229" s="4" t="s">
        <v>1520</v>
      </c>
      <c r="H229" s="4" t="str">
        <f t="shared" si="15"/>
        <v>71.15</v>
      </c>
      <c r="I229" s="3">
        <v>46174</v>
      </c>
      <c r="J229" s="6">
        <v>385</v>
      </c>
      <c r="K229" s="4">
        <v>392.4</v>
      </c>
      <c r="L229" s="6" t="s">
        <v>1521</v>
      </c>
      <c r="M229" s="4" t="s">
        <v>1522</v>
      </c>
      <c r="N229" s="4" t="s">
        <v>308</v>
      </c>
      <c r="O229" s="4">
        <v>410.79</v>
      </c>
      <c r="P229" s="4">
        <v>11.25</v>
      </c>
      <c r="Q229" s="4">
        <v>25.1</v>
      </c>
      <c r="R229" s="4">
        <v>5.42</v>
      </c>
      <c r="S229" s="4">
        <v>1.12</v>
      </c>
      <c r="T229">
        <f t="shared" si="16"/>
        <v>8.31</v>
      </c>
      <c r="U229" s="18">
        <v>80.5</v>
      </c>
      <c r="V229" s="18">
        <f t="shared" si="17"/>
        <v>151.65</v>
      </c>
      <c r="W229" s="18">
        <f t="shared" si="18"/>
        <v>3.89</v>
      </c>
      <c r="X229" s="18">
        <f t="shared" si="19"/>
        <v>777.4</v>
      </c>
      <c r="Y229" s="18"/>
      <c r="Z229" s="18"/>
    </row>
    <row r="230" ht="41.25" spans="1:31">
      <c r="A230">
        <v>2018</v>
      </c>
      <c r="B230" s="3">
        <v>46204</v>
      </c>
      <c r="C230" s="4" t="s">
        <v>1523</v>
      </c>
      <c r="D230" s="4" t="s">
        <v>1524</v>
      </c>
      <c r="E230" s="4" t="s">
        <v>1525</v>
      </c>
      <c r="F230" s="4" t="s">
        <v>1526</v>
      </c>
      <c r="G230" s="6" t="s">
        <v>1527</v>
      </c>
      <c r="H230" s="4" t="str">
        <f t="shared" si="15"/>
        <v>69.85</v>
      </c>
      <c r="I230" s="3">
        <v>46204</v>
      </c>
      <c r="J230" s="6">
        <v>378</v>
      </c>
      <c r="K230" s="6">
        <v>385.6</v>
      </c>
      <c r="L230" s="6" t="s">
        <v>1528</v>
      </c>
      <c r="M230" s="6" t="s">
        <v>798</v>
      </c>
      <c r="N230" s="4" t="s">
        <v>331</v>
      </c>
      <c r="O230" s="4">
        <v>408.71</v>
      </c>
      <c r="P230" s="6">
        <v>11.42</v>
      </c>
      <c r="Q230" s="4">
        <v>24.2</v>
      </c>
      <c r="R230" s="6">
        <v>5.95</v>
      </c>
      <c r="S230" s="6">
        <v>0.92</v>
      </c>
      <c r="T230">
        <f t="shared" si="16"/>
        <v>5.96000000000001</v>
      </c>
      <c r="U230" s="18">
        <v>82.8</v>
      </c>
      <c r="V230" s="18">
        <f t="shared" si="17"/>
        <v>152.65</v>
      </c>
      <c r="W230" s="18">
        <f t="shared" si="18"/>
        <v>2.56999999999999</v>
      </c>
      <c r="X230" s="18">
        <f t="shared" si="19"/>
        <v>763.6</v>
      </c>
      <c r="Y230" s="18"/>
      <c r="Z230" s="18"/>
    </row>
    <row r="231" ht="29.25" spans="1:31">
      <c r="A231">
        <v>2018</v>
      </c>
      <c r="B231" s="3">
        <v>46235</v>
      </c>
      <c r="C231" s="4" t="s">
        <v>1529</v>
      </c>
      <c r="D231" s="4" t="s">
        <v>1530</v>
      </c>
      <c r="E231" s="4" t="s">
        <v>1531</v>
      </c>
      <c r="F231" s="4" t="s">
        <v>1532</v>
      </c>
      <c r="G231" s="4" t="s">
        <v>1533</v>
      </c>
      <c r="H231" s="4" t="str">
        <f t="shared" si="15"/>
        <v>70.90</v>
      </c>
      <c r="I231" s="3">
        <v>46235</v>
      </c>
      <c r="J231" s="6">
        <v>382</v>
      </c>
      <c r="K231" s="4">
        <v>389.2</v>
      </c>
      <c r="L231" s="4" t="s">
        <v>1534</v>
      </c>
      <c r="M231" s="4" t="s">
        <v>1535</v>
      </c>
      <c r="N231" s="4" t="s">
        <v>465</v>
      </c>
      <c r="O231" s="4">
        <v>406.99</v>
      </c>
      <c r="P231" s="6">
        <v>11.49</v>
      </c>
      <c r="Q231" s="4">
        <v>26.5</v>
      </c>
      <c r="R231" s="4">
        <v>5.15</v>
      </c>
      <c r="S231" s="4">
        <v>1.05</v>
      </c>
      <c r="T231">
        <f t="shared" si="16"/>
        <v>7.20999999999999</v>
      </c>
      <c r="U231" s="18">
        <v>81.5</v>
      </c>
      <c r="V231" s="18">
        <f t="shared" si="17"/>
        <v>152.4</v>
      </c>
      <c r="W231" s="18">
        <f t="shared" si="18"/>
        <v>3.61</v>
      </c>
      <c r="X231" s="18">
        <f t="shared" si="19"/>
        <v>771.2</v>
      </c>
      <c r="Y231" s="18"/>
      <c r="Z231" s="18"/>
    </row>
    <row r="232" ht="29.25" spans="1:31">
      <c r="A232">
        <v>2018</v>
      </c>
      <c r="B232" s="3">
        <v>46266</v>
      </c>
      <c r="C232" s="4" t="s">
        <v>1536</v>
      </c>
      <c r="D232" s="4" t="s">
        <v>1537</v>
      </c>
      <c r="E232" s="4" t="s">
        <v>1290</v>
      </c>
      <c r="F232" s="4" t="s">
        <v>1538</v>
      </c>
      <c r="G232" s="4" t="s">
        <v>1539</v>
      </c>
      <c r="H232" s="4" t="str">
        <f t="shared" si="15"/>
        <v>72.35</v>
      </c>
      <c r="I232" s="3">
        <v>46266</v>
      </c>
      <c r="J232" s="6">
        <v>395</v>
      </c>
      <c r="K232" s="4">
        <v>402.5</v>
      </c>
      <c r="L232" s="4" t="s">
        <v>1540</v>
      </c>
      <c r="M232" s="4" t="s">
        <v>1541</v>
      </c>
      <c r="N232" s="4" t="s">
        <v>243</v>
      </c>
      <c r="O232" s="4">
        <v>405.51</v>
      </c>
      <c r="P232" s="4">
        <v>11.21</v>
      </c>
      <c r="Q232" s="4">
        <v>28.1</v>
      </c>
      <c r="R232" s="4">
        <v>4.25</v>
      </c>
      <c r="S232" s="4">
        <v>1.88</v>
      </c>
      <c r="T232">
        <f t="shared" si="16"/>
        <v>9.86</v>
      </c>
      <c r="U232" s="18">
        <v>78.8</v>
      </c>
      <c r="V232" s="18">
        <f t="shared" si="17"/>
        <v>151.15</v>
      </c>
      <c r="W232" s="18">
        <f t="shared" si="18"/>
        <v>5.05</v>
      </c>
      <c r="X232" s="18">
        <f t="shared" si="19"/>
        <v>797.5</v>
      </c>
      <c r="Y232" s="18"/>
      <c r="Z232" s="18"/>
    </row>
    <row r="233" ht="29.25" spans="1:31">
      <c r="A233">
        <v>2018</v>
      </c>
      <c r="B233" s="3">
        <v>46296</v>
      </c>
      <c r="C233" s="4" t="s">
        <v>1542</v>
      </c>
      <c r="D233" s="4" t="s">
        <v>1543</v>
      </c>
      <c r="E233" s="4" t="s">
        <v>1544</v>
      </c>
      <c r="F233" s="4" t="s">
        <v>1545</v>
      </c>
      <c r="G233" s="4" t="s">
        <v>1546</v>
      </c>
      <c r="H233" s="4" t="str">
        <f t="shared" si="15"/>
        <v>74.10</v>
      </c>
      <c r="I233" s="3">
        <v>46296</v>
      </c>
      <c r="J233" s="6">
        <v>408</v>
      </c>
      <c r="K233" s="4">
        <v>418.7</v>
      </c>
      <c r="L233" s="4" t="s">
        <v>1547</v>
      </c>
      <c r="M233" s="4" t="s">
        <v>1548</v>
      </c>
      <c r="N233" s="4" t="s">
        <v>1265</v>
      </c>
      <c r="O233" s="4">
        <v>406</v>
      </c>
      <c r="P233" s="4">
        <v>10.92</v>
      </c>
      <c r="Q233" s="6">
        <v>35.4</v>
      </c>
      <c r="R233" s="4">
        <v>3.72</v>
      </c>
      <c r="S233" s="4">
        <v>2.85</v>
      </c>
      <c r="T233">
        <f t="shared" si="16"/>
        <v>11.61</v>
      </c>
      <c r="U233" s="18">
        <v>77</v>
      </c>
      <c r="V233" s="18">
        <f t="shared" si="17"/>
        <v>151.1</v>
      </c>
      <c r="W233" s="18">
        <f t="shared" si="18"/>
        <v>6.78</v>
      </c>
      <c r="X233" s="18">
        <f t="shared" si="19"/>
        <v>826.7</v>
      </c>
      <c r="Y233" s="18"/>
      <c r="Z233" s="18"/>
    </row>
    <row r="234" ht="30" spans="1:31">
      <c r="A234">
        <v>2018</v>
      </c>
      <c r="B234" s="3">
        <v>46327</v>
      </c>
      <c r="C234" s="4" t="s">
        <v>1549</v>
      </c>
      <c r="D234" s="4" t="s">
        <v>1550</v>
      </c>
      <c r="E234" s="4" t="s">
        <v>1551</v>
      </c>
      <c r="F234" s="4" t="s">
        <v>1552</v>
      </c>
      <c r="G234" s="6" t="s">
        <v>1553</v>
      </c>
      <c r="H234" s="4" t="str">
        <f t="shared" si="15"/>
        <v>76.45</v>
      </c>
      <c r="I234" s="3">
        <v>46327</v>
      </c>
      <c r="J234" s="6">
        <v>415</v>
      </c>
      <c r="K234" s="4">
        <v>442.3</v>
      </c>
      <c r="L234" s="4" t="s">
        <v>1554</v>
      </c>
      <c r="M234" s="4" t="s">
        <v>1555</v>
      </c>
      <c r="N234" s="4" t="s">
        <v>424</v>
      </c>
      <c r="O234" s="4">
        <v>408.02</v>
      </c>
      <c r="P234" s="4">
        <v>10.75</v>
      </c>
      <c r="Q234" s="6">
        <v>38.8</v>
      </c>
      <c r="R234" s="4">
        <v>3.25</v>
      </c>
      <c r="S234" s="4">
        <v>3.32</v>
      </c>
      <c r="T234">
        <f t="shared" si="16"/>
        <v>13.36</v>
      </c>
      <c r="U234" s="18">
        <v>75.2</v>
      </c>
      <c r="V234" s="18">
        <f t="shared" si="17"/>
        <v>151.65</v>
      </c>
      <c r="W234" s="18">
        <f t="shared" si="18"/>
        <v>9.12</v>
      </c>
      <c r="X234" s="18">
        <f t="shared" si="19"/>
        <v>857.3</v>
      </c>
      <c r="Y234" s="18"/>
      <c r="Z234" s="18"/>
    </row>
    <row r="235" ht="42" spans="1:31">
      <c r="A235">
        <v>2018</v>
      </c>
      <c r="B235" s="3">
        <v>46357</v>
      </c>
      <c r="C235" s="4" t="s">
        <v>1556</v>
      </c>
      <c r="D235" s="4" t="s">
        <v>1557</v>
      </c>
      <c r="E235" s="4" t="s">
        <v>1558</v>
      </c>
      <c r="F235" s="4" t="s">
        <v>1559</v>
      </c>
      <c r="G235" s="6" t="s">
        <v>1560</v>
      </c>
      <c r="H235" s="4" t="str">
        <f t="shared" si="15"/>
        <v>77.90</v>
      </c>
      <c r="I235" s="3">
        <v>46357</v>
      </c>
      <c r="J235" s="6">
        <v>425</v>
      </c>
      <c r="K235" s="6">
        <v>465.1</v>
      </c>
      <c r="L235" s="4" t="s">
        <v>1561</v>
      </c>
      <c r="M235" s="6" t="s">
        <v>1562</v>
      </c>
      <c r="N235" s="6" t="s">
        <v>1563</v>
      </c>
      <c r="O235" s="4">
        <v>409.07</v>
      </c>
      <c r="P235" s="4">
        <v>10.66</v>
      </c>
      <c r="Q235" s="4">
        <v>30.2</v>
      </c>
      <c r="R235" s="4">
        <v>3.08</v>
      </c>
      <c r="S235" s="4">
        <v>3.58</v>
      </c>
      <c r="T235">
        <f t="shared" si="16"/>
        <v>15.01</v>
      </c>
      <c r="U235" s="18">
        <v>73.5</v>
      </c>
      <c r="V235" s="18">
        <f t="shared" si="17"/>
        <v>151.4</v>
      </c>
      <c r="W235" s="18">
        <f t="shared" si="18"/>
        <v>10.55</v>
      </c>
      <c r="X235" s="18">
        <f t="shared" si="19"/>
        <v>890.1</v>
      </c>
      <c r="Y235" s="18">
        <f>AVERAGE(X224:X235)</f>
        <v>831.991666666667</v>
      </c>
      <c r="Z235" s="18">
        <f>AVERAGE(W224:W226)</f>
        <v>9.85333333333333</v>
      </c>
      <c r="AA235">
        <f>(SUM(U224:U235)-SUM(U230:U232))/9</f>
        <v>75.3666666666667</v>
      </c>
      <c r="AB235">
        <f>AVERAGE(T224:T235)</f>
        <v>11.9975</v>
      </c>
      <c r="AC235">
        <f>SUM(T224:T235)/12</f>
        <v>11.9975</v>
      </c>
      <c r="AD235">
        <f>AVERAGE(T224:T226)</f>
        <v>16.0666666666667</v>
      </c>
      <c r="AE235">
        <f>AVERAGE(V224:V235)</f>
        <v>151.083333333333</v>
      </c>
    </row>
    <row r="236" ht="60.75" spans="1:31">
      <c r="B236" s="6" t="s">
        <v>1564</v>
      </c>
      <c r="C236" s="6" t="s">
        <v>396</v>
      </c>
      <c r="D236" s="6" t="s">
        <v>8</v>
      </c>
      <c r="E236" s="6" t="s">
        <v>124</v>
      </c>
      <c r="F236" s="6" t="s">
        <v>10</v>
      </c>
      <c r="G236" s="6" t="s">
        <v>125</v>
      </c>
      <c r="H236" s="4" t="str">
        <f t="shared" si="15"/>
        <v>650 氢</v>
      </c>
      <c r="I236" s="6" t="s">
        <v>1564</v>
      </c>
      <c r="J236" s="6" t="s">
        <v>126</v>
      </c>
      <c r="K236" s="6" t="s">
        <v>126</v>
      </c>
      <c r="L236" s="6" t="s">
        <v>127</v>
      </c>
      <c r="M236" s="6" t="s">
        <v>15</v>
      </c>
      <c r="N236" s="6" t="s">
        <v>16</v>
      </c>
      <c r="O236" s="6" t="s">
        <v>17</v>
      </c>
      <c r="P236" s="6" t="s">
        <v>18</v>
      </c>
      <c r="Q236" s="6" t="s">
        <v>19</v>
      </c>
      <c r="R236" s="6" t="s">
        <v>128</v>
      </c>
      <c r="S236" s="6" t="s">
        <v>21</v>
      </c>
      <c r="T236" t="e">
        <f t="shared" si="16"/>
        <v>#VALUE!</v>
      </c>
      <c r="U236" s="19" t="s">
        <v>129</v>
      </c>
      <c r="V236" s="18" t="e">
        <f t="shared" si="17"/>
        <v>#VALUE!</v>
      </c>
      <c r="W236" s="18" t="e">
        <f t="shared" si="18"/>
        <v>#VALUE!</v>
      </c>
      <c r="X236" s="18">
        <f t="shared" si="19"/>
        <v>0</v>
      </c>
      <c r="Y236" s="18"/>
      <c r="Z236" s="18"/>
    </row>
    <row r="237" ht="30" spans="1:31">
      <c r="A237">
        <v>2019</v>
      </c>
      <c r="B237" s="3">
        <v>46023</v>
      </c>
      <c r="C237" s="4" t="s">
        <v>1565</v>
      </c>
      <c r="D237" s="4" t="s">
        <v>1566</v>
      </c>
      <c r="E237" s="4" t="s">
        <v>1567</v>
      </c>
      <c r="F237" s="4" t="s">
        <v>1568</v>
      </c>
      <c r="G237" s="6" t="s">
        <v>1569</v>
      </c>
      <c r="H237" s="4" t="str">
        <f t="shared" si="15"/>
        <v>77.40</v>
      </c>
      <c r="I237" s="3">
        <v>46023</v>
      </c>
      <c r="J237" s="6">
        <v>438</v>
      </c>
      <c r="K237" s="6">
        <v>470.8</v>
      </c>
      <c r="L237" s="6" t="s">
        <v>1570</v>
      </c>
      <c r="M237" s="6" t="s">
        <v>1571</v>
      </c>
      <c r="N237" s="6" t="s">
        <v>301</v>
      </c>
      <c r="O237" s="4">
        <v>410.83</v>
      </c>
      <c r="P237" s="4">
        <v>10.65</v>
      </c>
      <c r="Q237" s="4">
        <v>20.4</v>
      </c>
      <c r="R237" s="4">
        <v>3.05</v>
      </c>
      <c r="S237" s="4">
        <v>3.52</v>
      </c>
      <c r="T237">
        <f t="shared" si="16"/>
        <v>16.47</v>
      </c>
      <c r="U237" s="18">
        <v>72</v>
      </c>
      <c r="V237" s="18">
        <f t="shared" si="17"/>
        <v>149.4</v>
      </c>
      <c r="W237" s="18">
        <f t="shared" si="18"/>
        <v>10.04</v>
      </c>
      <c r="X237" s="18">
        <f t="shared" si="19"/>
        <v>908.8</v>
      </c>
      <c r="Y237" s="18"/>
      <c r="Z237" s="18"/>
    </row>
    <row r="238" ht="29.25" spans="1:31">
      <c r="A238">
        <v>2019</v>
      </c>
      <c r="B238" s="3">
        <v>46054</v>
      </c>
      <c r="C238" s="4" t="s">
        <v>1572</v>
      </c>
      <c r="D238" s="4" t="s">
        <v>1573</v>
      </c>
      <c r="E238" s="4" t="s">
        <v>1574</v>
      </c>
      <c r="F238" s="4" t="s">
        <v>1575</v>
      </c>
      <c r="G238" s="4" t="s">
        <v>1576</v>
      </c>
      <c r="H238" s="4" t="str">
        <f t="shared" si="15"/>
        <v>76.95</v>
      </c>
      <c r="I238" s="3">
        <v>46054</v>
      </c>
      <c r="J238" s="6">
        <v>440</v>
      </c>
      <c r="K238" s="4">
        <v>466.2</v>
      </c>
      <c r="L238" s="4" t="s">
        <v>1577</v>
      </c>
      <c r="M238" s="4" t="s">
        <v>1578</v>
      </c>
      <c r="N238" s="4" t="s">
        <v>575</v>
      </c>
      <c r="O238" s="4">
        <v>411.75</v>
      </c>
      <c r="P238" s="4">
        <v>10.72</v>
      </c>
      <c r="Q238" s="4">
        <v>20.8</v>
      </c>
      <c r="R238" s="4">
        <v>3.18</v>
      </c>
      <c r="S238" s="4">
        <v>3.25</v>
      </c>
      <c r="T238">
        <f t="shared" si="16"/>
        <v>15.62</v>
      </c>
      <c r="U238" s="18">
        <v>72.8</v>
      </c>
      <c r="V238" s="18">
        <f t="shared" si="17"/>
        <v>149.75</v>
      </c>
      <c r="W238" s="18">
        <f t="shared" si="18"/>
        <v>9.58</v>
      </c>
      <c r="X238" s="18">
        <f t="shared" si="19"/>
        <v>906.2</v>
      </c>
      <c r="Y238" s="18"/>
      <c r="Z238" s="18"/>
    </row>
    <row r="239" ht="29.25" spans="1:31">
      <c r="A239">
        <v>2019</v>
      </c>
      <c r="B239" s="3">
        <v>46082</v>
      </c>
      <c r="C239" s="4" t="s">
        <v>1579</v>
      </c>
      <c r="D239" s="4" t="s">
        <v>1580</v>
      </c>
      <c r="E239" s="4" t="s">
        <v>1581</v>
      </c>
      <c r="F239" s="4" t="s">
        <v>1582</v>
      </c>
      <c r="G239" s="4" t="s">
        <v>1583</v>
      </c>
      <c r="H239" s="4" t="str">
        <f t="shared" si="15"/>
        <v>75.80</v>
      </c>
      <c r="I239" s="3">
        <v>46082</v>
      </c>
      <c r="J239" s="6">
        <v>432</v>
      </c>
      <c r="K239" s="4">
        <v>448.5</v>
      </c>
      <c r="L239" s="4" t="s">
        <v>1584</v>
      </c>
      <c r="M239" s="4" t="s">
        <v>1585</v>
      </c>
      <c r="N239" s="4" t="s">
        <v>1586</v>
      </c>
      <c r="O239" s="4">
        <v>411.97</v>
      </c>
      <c r="P239" s="4">
        <v>10.85</v>
      </c>
      <c r="Q239" s="4">
        <v>23.5</v>
      </c>
      <c r="R239" s="4">
        <v>3.45</v>
      </c>
      <c r="S239" s="4">
        <v>3.18</v>
      </c>
      <c r="T239">
        <f t="shared" si="16"/>
        <v>14.37</v>
      </c>
      <c r="U239" s="18">
        <v>74</v>
      </c>
      <c r="V239" s="18">
        <f t="shared" si="17"/>
        <v>149.8</v>
      </c>
      <c r="W239" s="18">
        <f t="shared" si="18"/>
        <v>8.41</v>
      </c>
      <c r="X239" s="18">
        <f t="shared" si="19"/>
        <v>880.5</v>
      </c>
      <c r="Y239" s="18"/>
      <c r="Z239" s="18"/>
    </row>
    <row r="240" ht="29.25" spans="1:31">
      <c r="A240">
        <v>2019</v>
      </c>
      <c r="B240" s="3">
        <v>46113</v>
      </c>
      <c r="C240" s="4" t="s">
        <v>1587</v>
      </c>
      <c r="D240" s="4" t="s">
        <v>1588</v>
      </c>
      <c r="E240" s="4" t="s">
        <v>1589</v>
      </c>
      <c r="F240" s="4" t="s">
        <v>1590</v>
      </c>
      <c r="G240" s="4" t="s">
        <v>1591</v>
      </c>
      <c r="H240" s="4" t="str">
        <f t="shared" si="15"/>
        <v>73.45</v>
      </c>
      <c r="I240" s="3">
        <v>46113</v>
      </c>
      <c r="J240" s="6">
        <v>425</v>
      </c>
      <c r="K240" s="4">
        <v>425.1</v>
      </c>
      <c r="L240" s="4" t="s">
        <v>1592</v>
      </c>
      <c r="M240" s="4" t="s">
        <v>1593</v>
      </c>
      <c r="N240" s="4" t="s">
        <v>1369</v>
      </c>
      <c r="O240" s="4">
        <v>413.32</v>
      </c>
      <c r="P240" s="4">
        <v>11.02</v>
      </c>
      <c r="Q240" s="4">
        <v>24.2</v>
      </c>
      <c r="R240" s="4">
        <v>3.92</v>
      </c>
      <c r="S240" s="4">
        <v>1.95</v>
      </c>
      <c r="T240">
        <f t="shared" si="16"/>
        <v>12.53</v>
      </c>
      <c r="U240" s="18">
        <v>75.8</v>
      </c>
      <c r="V240" s="18">
        <f t="shared" si="17"/>
        <v>149.25</v>
      </c>
      <c r="W240" s="18">
        <f t="shared" si="18"/>
        <v>6.05</v>
      </c>
      <c r="X240" s="18">
        <f t="shared" si="19"/>
        <v>850.1</v>
      </c>
      <c r="Y240" s="18"/>
      <c r="Z240" s="18"/>
    </row>
    <row r="241" ht="29.25" spans="1:31">
      <c r="A241">
        <v>2019</v>
      </c>
      <c r="B241" s="3">
        <v>46143</v>
      </c>
      <c r="C241" s="4" t="s">
        <v>1594</v>
      </c>
      <c r="D241" s="4" t="s">
        <v>1595</v>
      </c>
      <c r="E241" s="4" t="s">
        <v>1596</v>
      </c>
      <c r="F241" s="4" t="s">
        <v>1597</v>
      </c>
      <c r="G241" s="4" t="s">
        <v>1598</v>
      </c>
      <c r="H241" s="4" t="str">
        <f t="shared" si="15"/>
        <v>71.20</v>
      </c>
      <c r="I241" s="3">
        <v>46143</v>
      </c>
      <c r="J241" s="6">
        <v>412</v>
      </c>
      <c r="K241" s="4">
        <v>408.3</v>
      </c>
      <c r="L241" s="4" t="s">
        <v>1599</v>
      </c>
      <c r="M241" s="4" t="s">
        <v>1600</v>
      </c>
      <c r="N241" s="4" t="s">
        <v>1249</v>
      </c>
      <c r="O241" s="6">
        <v>414.66</v>
      </c>
      <c r="P241" s="4">
        <v>11.21</v>
      </c>
      <c r="Q241" s="4">
        <v>26.8</v>
      </c>
      <c r="R241" s="4">
        <v>4.45</v>
      </c>
      <c r="S241" s="4">
        <v>1.45</v>
      </c>
      <c r="T241">
        <f t="shared" si="16"/>
        <v>9.78</v>
      </c>
      <c r="U241" s="18">
        <v>78.5</v>
      </c>
      <c r="V241" s="18">
        <f t="shared" si="17"/>
        <v>149.7</v>
      </c>
      <c r="W241" s="18">
        <f t="shared" si="18"/>
        <v>3.79000000000001</v>
      </c>
      <c r="X241" s="18">
        <f t="shared" si="19"/>
        <v>820.3</v>
      </c>
      <c r="Y241" s="18"/>
      <c r="Z241" s="18"/>
    </row>
    <row r="242" ht="42.75" spans="1:31">
      <c r="A242">
        <v>2019</v>
      </c>
      <c r="B242" s="3">
        <v>46174</v>
      </c>
      <c r="C242" s="4" t="s">
        <v>1601</v>
      </c>
      <c r="D242" s="4" t="s">
        <v>1602</v>
      </c>
      <c r="E242" s="4" t="s">
        <v>1603</v>
      </c>
      <c r="F242" s="4" t="s">
        <v>1604</v>
      </c>
      <c r="G242" s="4" t="s">
        <v>1605</v>
      </c>
      <c r="H242" s="4" t="str">
        <f t="shared" si="15"/>
        <v>69.85</v>
      </c>
      <c r="I242" s="3">
        <v>46174</v>
      </c>
      <c r="J242" s="6">
        <v>398</v>
      </c>
      <c r="K242" s="4">
        <v>395.2</v>
      </c>
      <c r="L242" s="6" t="s">
        <v>1606</v>
      </c>
      <c r="M242" s="4" t="s">
        <v>1607</v>
      </c>
      <c r="N242" s="6" t="s">
        <v>1608</v>
      </c>
      <c r="O242" s="4">
        <v>413.92</v>
      </c>
      <c r="P242" s="4">
        <v>11.45</v>
      </c>
      <c r="Q242" s="4">
        <v>22.5</v>
      </c>
      <c r="R242" s="4">
        <v>5.25</v>
      </c>
      <c r="S242" s="4">
        <v>1.05</v>
      </c>
      <c r="T242">
        <f t="shared" si="16"/>
        <v>7.44</v>
      </c>
      <c r="U242" s="18">
        <v>80.8</v>
      </c>
      <c r="V242" s="18">
        <f t="shared" si="17"/>
        <v>150.65</v>
      </c>
      <c r="W242" s="18">
        <f t="shared" si="18"/>
        <v>2.42999999999999</v>
      </c>
      <c r="X242" s="18">
        <f t="shared" si="19"/>
        <v>793.2</v>
      </c>
      <c r="Y242" s="18"/>
      <c r="Z242" s="18"/>
    </row>
    <row r="243" ht="30" spans="1:31">
      <c r="A243">
        <v>2019</v>
      </c>
      <c r="B243" s="3">
        <v>46204</v>
      </c>
      <c r="C243" s="4" t="s">
        <v>1609</v>
      </c>
      <c r="D243" s="4" t="s">
        <v>1363</v>
      </c>
      <c r="E243" s="4" t="s">
        <v>1610</v>
      </c>
      <c r="F243" s="4" t="s">
        <v>1611</v>
      </c>
      <c r="G243" s="6" t="s">
        <v>1612</v>
      </c>
      <c r="H243" s="4" t="str">
        <f t="shared" si="15"/>
        <v>68.65</v>
      </c>
      <c r="I243" s="3">
        <v>46204</v>
      </c>
      <c r="J243" s="6">
        <v>392</v>
      </c>
      <c r="K243" s="6">
        <v>387.6</v>
      </c>
      <c r="L243" s="6" t="s">
        <v>1613</v>
      </c>
      <c r="M243" s="4" t="s">
        <v>1614</v>
      </c>
      <c r="N243" s="6" t="s">
        <v>1615</v>
      </c>
      <c r="O243" s="4">
        <v>411.77</v>
      </c>
      <c r="P243" s="6">
        <v>11.64</v>
      </c>
      <c r="Q243" s="4">
        <v>21.8</v>
      </c>
      <c r="R243" s="6">
        <v>5.68</v>
      </c>
      <c r="S243" s="6">
        <v>0.85</v>
      </c>
      <c r="T243">
        <f t="shared" si="16"/>
        <v>5</v>
      </c>
      <c r="U243" s="18">
        <v>83.2</v>
      </c>
      <c r="V243" s="18">
        <f t="shared" si="17"/>
        <v>151.85</v>
      </c>
      <c r="W243" s="18">
        <f t="shared" si="18"/>
        <v>1.22</v>
      </c>
      <c r="X243" s="18">
        <f t="shared" si="19"/>
        <v>779.6</v>
      </c>
      <c r="Y243" s="18"/>
      <c r="Z243" s="18"/>
    </row>
    <row r="244" ht="29.25" spans="1:31">
      <c r="A244">
        <v>2019</v>
      </c>
      <c r="B244" s="3">
        <v>46235</v>
      </c>
      <c r="C244" s="4" t="s">
        <v>1616</v>
      </c>
      <c r="D244" s="4" t="s">
        <v>1617</v>
      </c>
      <c r="E244" s="4" t="s">
        <v>1618</v>
      </c>
      <c r="F244" s="4" t="s">
        <v>1619</v>
      </c>
      <c r="G244" s="4" t="s">
        <v>1620</v>
      </c>
      <c r="H244" s="4" t="str">
        <f t="shared" si="15"/>
        <v>69.70</v>
      </c>
      <c r="I244" s="3">
        <v>46235</v>
      </c>
      <c r="J244" s="6">
        <v>395</v>
      </c>
      <c r="K244" s="4">
        <v>392.4</v>
      </c>
      <c r="L244" s="4" t="s">
        <v>1621</v>
      </c>
      <c r="M244" s="4" t="s">
        <v>1622</v>
      </c>
      <c r="N244" s="4" t="s">
        <v>1623</v>
      </c>
      <c r="O244" s="4">
        <v>409.95</v>
      </c>
      <c r="P244" s="6">
        <v>11.72</v>
      </c>
      <c r="Q244" s="4">
        <v>24.6</v>
      </c>
      <c r="R244" s="4">
        <v>4.95</v>
      </c>
      <c r="S244" s="4">
        <v>0.92</v>
      </c>
      <c r="T244">
        <f t="shared" si="16"/>
        <v>5.66</v>
      </c>
      <c r="U244" s="18">
        <v>82.5</v>
      </c>
      <c r="V244" s="18">
        <f t="shared" si="17"/>
        <v>152.2</v>
      </c>
      <c r="W244" s="18">
        <f t="shared" si="18"/>
        <v>2.25</v>
      </c>
      <c r="X244" s="18">
        <f t="shared" si="19"/>
        <v>787.4</v>
      </c>
      <c r="Y244" s="18"/>
      <c r="Z244" s="18"/>
    </row>
    <row r="245" ht="29.25" spans="1:31">
      <c r="A245">
        <v>2019</v>
      </c>
      <c r="B245" s="3">
        <v>46266</v>
      </c>
      <c r="C245" s="4" t="s">
        <v>1624</v>
      </c>
      <c r="D245" s="4" t="s">
        <v>1625</v>
      </c>
      <c r="E245" s="4" t="s">
        <v>1127</v>
      </c>
      <c r="F245" s="4" t="s">
        <v>1626</v>
      </c>
      <c r="G245" s="4" t="s">
        <v>1627</v>
      </c>
      <c r="H245" s="4" t="str">
        <f t="shared" si="15"/>
        <v>71.12</v>
      </c>
      <c r="I245" s="3">
        <v>46266</v>
      </c>
      <c r="J245" s="6">
        <v>408</v>
      </c>
      <c r="K245" s="4">
        <v>412.5</v>
      </c>
      <c r="L245" s="4" t="s">
        <v>1628</v>
      </c>
      <c r="M245" s="4" t="s">
        <v>1629</v>
      </c>
      <c r="N245" s="4" t="s">
        <v>1287</v>
      </c>
      <c r="O245" s="6">
        <v>408.54</v>
      </c>
      <c r="P245" s="4">
        <v>11.38</v>
      </c>
      <c r="Q245" s="4">
        <v>27.2</v>
      </c>
      <c r="R245" s="4">
        <v>4.05</v>
      </c>
      <c r="S245" s="4">
        <v>1.62</v>
      </c>
      <c r="T245">
        <f t="shared" si="16"/>
        <v>8.31</v>
      </c>
      <c r="U245" s="18">
        <v>79.8</v>
      </c>
      <c r="V245" s="18">
        <f t="shared" si="17"/>
        <v>150.92</v>
      </c>
      <c r="W245" s="18">
        <f t="shared" si="18"/>
        <v>3.66000000000001</v>
      </c>
      <c r="X245" s="18">
        <f t="shared" si="19"/>
        <v>820.5</v>
      </c>
      <c r="Y245" s="18"/>
      <c r="Z245" s="18"/>
    </row>
    <row r="246" ht="41.25" spans="1:31">
      <c r="A246">
        <v>2019</v>
      </c>
      <c r="B246" s="3">
        <v>46296</v>
      </c>
      <c r="C246" s="4" t="s">
        <v>1630</v>
      </c>
      <c r="D246" s="4" t="s">
        <v>1631</v>
      </c>
      <c r="E246" s="4" t="s">
        <v>1632</v>
      </c>
      <c r="F246" s="4" t="s">
        <v>1633</v>
      </c>
      <c r="G246" s="4" t="s">
        <v>1634</v>
      </c>
      <c r="H246" s="4" t="str">
        <f t="shared" si="15"/>
        <v>73.40</v>
      </c>
      <c r="I246" s="3">
        <v>46296</v>
      </c>
      <c r="J246" s="6">
        <v>422</v>
      </c>
      <c r="K246" s="4">
        <v>430.2</v>
      </c>
      <c r="L246" s="4" t="s">
        <v>1635</v>
      </c>
      <c r="M246" s="4" t="s">
        <v>1636</v>
      </c>
      <c r="N246" s="4" t="s">
        <v>1384</v>
      </c>
      <c r="O246" s="4">
        <v>408.53</v>
      </c>
      <c r="P246" s="4">
        <v>11.05</v>
      </c>
      <c r="Q246" s="6">
        <v>34.1</v>
      </c>
      <c r="R246" s="4">
        <v>3.58</v>
      </c>
      <c r="S246" s="4">
        <v>2.55</v>
      </c>
      <c r="T246">
        <f t="shared" si="16"/>
        <v>10.57</v>
      </c>
      <c r="U246" s="18">
        <v>77.5</v>
      </c>
      <c r="V246" s="18">
        <f t="shared" si="17"/>
        <v>150.9</v>
      </c>
      <c r="W246" s="18">
        <f t="shared" si="18"/>
        <v>5.93000000000001</v>
      </c>
      <c r="X246" s="18">
        <f t="shared" si="19"/>
        <v>852.2</v>
      </c>
      <c r="Y246" s="18"/>
      <c r="Z246" s="18"/>
    </row>
    <row r="247" ht="30" spans="1:31">
      <c r="A247">
        <v>2019</v>
      </c>
      <c r="B247" s="3">
        <v>46327</v>
      </c>
      <c r="C247" s="4" t="s">
        <v>1637</v>
      </c>
      <c r="D247" s="4" t="s">
        <v>1638</v>
      </c>
      <c r="E247" s="4" t="s">
        <v>1639</v>
      </c>
      <c r="F247" s="4" t="s">
        <v>1640</v>
      </c>
      <c r="G247" s="6" t="s">
        <v>1641</v>
      </c>
      <c r="H247" s="4" t="str">
        <f t="shared" si="15"/>
        <v>75.90</v>
      </c>
      <c r="I247" s="3">
        <v>46327</v>
      </c>
      <c r="J247" s="6">
        <v>435</v>
      </c>
      <c r="K247" s="4">
        <v>455.8</v>
      </c>
      <c r="L247" s="4" t="s">
        <v>1642</v>
      </c>
      <c r="M247" s="6" t="s">
        <v>1643</v>
      </c>
      <c r="N247" s="4" t="s">
        <v>1257</v>
      </c>
      <c r="O247" s="4">
        <v>410.27</v>
      </c>
      <c r="P247" s="4">
        <v>10.88</v>
      </c>
      <c r="Q247" s="6">
        <v>36.5</v>
      </c>
      <c r="R247" s="4">
        <v>3.12</v>
      </c>
      <c r="S247" s="4">
        <v>3.18</v>
      </c>
      <c r="T247">
        <f t="shared" si="16"/>
        <v>12.23</v>
      </c>
      <c r="U247" s="18">
        <v>75.8</v>
      </c>
      <c r="V247" s="18">
        <f t="shared" si="17"/>
        <v>151.7</v>
      </c>
      <c r="W247" s="18">
        <f t="shared" si="18"/>
        <v>8.42</v>
      </c>
      <c r="X247" s="18">
        <f t="shared" si="19"/>
        <v>890.8</v>
      </c>
      <c r="Y247" s="18"/>
      <c r="Z247" s="18"/>
    </row>
    <row r="248" ht="30" spans="1:31">
      <c r="A248">
        <v>2019</v>
      </c>
      <c r="B248" s="3">
        <v>46357</v>
      </c>
      <c r="C248" s="4" t="s">
        <v>1644</v>
      </c>
      <c r="D248" s="4" t="s">
        <v>1645</v>
      </c>
      <c r="E248" s="6" t="s">
        <v>1646</v>
      </c>
      <c r="F248" s="4" t="s">
        <v>1647</v>
      </c>
      <c r="G248" s="6" t="s">
        <v>1648</v>
      </c>
      <c r="H248" s="4" t="str">
        <f t="shared" si="15"/>
        <v>77.15</v>
      </c>
      <c r="I248" s="3">
        <v>46357</v>
      </c>
      <c r="J248" s="6">
        <v>448</v>
      </c>
      <c r="K248" s="6">
        <v>482.4</v>
      </c>
      <c r="L248" s="4" t="s">
        <v>1649</v>
      </c>
      <c r="M248" s="6" t="s">
        <v>1650</v>
      </c>
      <c r="N248" s="6" t="s">
        <v>1179</v>
      </c>
      <c r="O248" s="4">
        <v>411.76</v>
      </c>
      <c r="P248" s="4">
        <v>10.76</v>
      </c>
      <c r="Q248" s="6">
        <v>38.2</v>
      </c>
      <c r="R248" s="4">
        <v>2.98</v>
      </c>
      <c r="S248" s="4">
        <v>3.42</v>
      </c>
      <c r="T248">
        <f t="shared" si="16"/>
        <v>13.78</v>
      </c>
      <c r="U248" s="18">
        <v>74.2</v>
      </c>
      <c r="V248" s="18">
        <f t="shared" si="17"/>
        <v>151.35</v>
      </c>
      <c r="W248" s="18">
        <f t="shared" si="18"/>
        <v>9.65000000000001</v>
      </c>
      <c r="X248" s="18">
        <f t="shared" si="19"/>
        <v>930.4</v>
      </c>
      <c r="Y248" s="18">
        <f>AVERAGE(X237:X248)</f>
        <v>851.666666666667</v>
      </c>
      <c r="Z248" s="18">
        <f>AVERAGE(W237:W239)</f>
        <v>9.34333333333333</v>
      </c>
      <c r="AA248">
        <f>(SUM(U237:U248)-SUM(U243:U245))/9</f>
        <v>75.7111111111111</v>
      </c>
      <c r="AB248">
        <f>AVERAGE(T237:T248)</f>
        <v>10.98</v>
      </c>
      <c r="AC248">
        <f>SUM(T237:T248)/12</f>
        <v>10.98</v>
      </c>
      <c r="AD248">
        <f>AVERAGE(T237:T239)</f>
        <v>15.4866666666667</v>
      </c>
      <c r="AE248">
        <f>AVERAGE(V237:V248)</f>
        <v>150.6225</v>
      </c>
    </row>
    <row r="249" ht="60.75" spans="1:31">
      <c r="B249" s="6" t="s">
        <v>1651</v>
      </c>
      <c r="C249" s="6" t="s">
        <v>396</v>
      </c>
      <c r="D249" s="6" t="s">
        <v>8</v>
      </c>
      <c r="E249" s="6" t="s">
        <v>124</v>
      </c>
      <c r="F249" s="6" t="s">
        <v>10</v>
      </c>
      <c r="G249" s="6" t="s">
        <v>125</v>
      </c>
      <c r="H249" s="4" t="str">
        <f t="shared" si="15"/>
        <v>650 氢</v>
      </c>
      <c r="I249" s="6" t="s">
        <v>1651</v>
      </c>
      <c r="J249" s="6" t="s">
        <v>126</v>
      </c>
      <c r="K249" s="6" t="s">
        <v>126</v>
      </c>
      <c r="L249" s="6" t="s">
        <v>127</v>
      </c>
      <c r="M249" s="6" t="s">
        <v>15</v>
      </c>
      <c r="N249" s="6" t="s">
        <v>16</v>
      </c>
      <c r="O249" s="6" t="s">
        <v>17</v>
      </c>
      <c r="P249" s="6" t="s">
        <v>18</v>
      </c>
      <c r="Q249" s="6" t="s">
        <v>19</v>
      </c>
      <c r="R249" s="6" t="s">
        <v>128</v>
      </c>
      <c r="S249" s="6" t="s">
        <v>21</v>
      </c>
      <c r="T249" t="e">
        <f t="shared" si="16"/>
        <v>#VALUE!</v>
      </c>
      <c r="U249" s="19" t="s">
        <v>129</v>
      </c>
      <c r="V249" s="18" t="e">
        <f t="shared" si="17"/>
        <v>#VALUE!</v>
      </c>
      <c r="W249" s="18" t="e">
        <f t="shared" si="18"/>
        <v>#VALUE!</v>
      </c>
      <c r="X249" s="18">
        <f t="shared" si="19"/>
        <v>0</v>
      </c>
      <c r="Y249" s="18"/>
      <c r="Z249" s="18"/>
    </row>
    <row r="250" ht="44.25" spans="1:31">
      <c r="A250">
        <v>2020</v>
      </c>
      <c r="B250" s="3">
        <v>46023</v>
      </c>
      <c r="C250" s="4" t="s">
        <v>1652</v>
      </c>
      <c r="D250" s="4" t="s">
        <v>1653</v>
      </c>
      <c r="E250" s="4" t="s">
        <v>1654</v>
      </c>
      <c r="F250" s="4" t="s">
        <v>1655</v>
      </c>
      <c r="G250" s="6" t="s">
        <v>1656</v>
      </c>
      <c r="H250" s="4" t="str">
        <f t="shared" si="15"/>
        <v>77.60</v>
      </c>
      <c r="I250" s="3">
        <v>46023</v>
      </c>
      <c r="J250" s="6">
        <v>455</v>
      </c>
      <c r="K250" s="6">
        <v>488.6</v>
      </c>
      <c r="L250" s="6" t="s">
        <v>1657</v>
      </c>
      <c r="M250" s="6" t="s">
        <v>1658</v>
      </c>
      <c r="N250" s="6" t="s">
        <v>1369</v>
      </c>
      <c r="O250" s="4">
        <v>413.4</v>
      </c>
      <c r="P250" s="4">
        <v>10.72</v>
      </c>
      <c r="Q250" s="4">
        <v>22.5</v>
      </c>
      <c r="R250" s="4">
        <v>3.02</v>
      </c>
      <c r="S250" s="4">
        <v>3.48</v>
      </c>
      <c r="T250">
        <f t="shared" si="16"/>
        <v>15.93</v>
      </c>
      <c r="U250" s="18">
        <v>72</v>
      </c>
      <c r="V250" s="18">
        <f t="shared" si="17"/>
        <v>149.6</v>
      </c>
      <c r="W250" s="18">
        <f t="shared" si="18"/>
        <v>10.09</v>
      </c>
      <c r="X250" s="18">
        <f t="shared" si="19"/>
        <v>943.6</v>
      </c>
      <c r="Y250" s="18"/>
      <c r="Z250" s="18"/>
    </row>
    <row r="251" ht="29.25" spans="1:31">
      <c r="A251">
        <v>2020</v>
      </c>
      <c r="B251" s="3">
        <v>46054</v>
      </c>
      <c r="C251" s="4" t="s">
        <v>1659</v>
      </c>
      <c r="D251" s="4" t="s">
        <v>1660</v>
      </c>
      <c r="E251" s="4" t="s">
        <v>1661</v>
      </c>
      <c r="F251" s="4" t="s">
        <v>1662</v>
      </c>
      <c r="G251" s="4" t="s">
        <v>1663</v>
      </c>
      <c r="H251" s="4" t="str">
        <f t="shared" si="15"/>
        <v>77.10</v>
      </c>
      <c r="I251" s="3">
        <v>46054</v>
      </c>
      <c r="J251" s="6">
        <v>458</v>
      </c>
      <c r="K251" s="4">
        <v>482.4</v>
      </c>
      <c r="L251" s="4" t="s">
        <v>1664</v>
      </c>
      <c r="M251" s="4" t="s">
        <v>1665</v>
      </c>
      <c r="N251" s="4" t="s">
        <v>1301</v>
      </c>
      <c r="O251" s="4">
        <v>414.11</v>
      </c>
      <c r="P251" s="4">
        <v>10.79</v>
      </c>
      <c r="Q251" s="4">
        <v>23.1</v>
      </c>
      <c r="R251" s="4">
        <v>3.15</v>
      </c>
      <c r="S251" s="4">
        <v>3.32</v>
      </c>
      <c r="T251">
        <f t="shared" si="16"/>
        <v>15.09</v>
      </c>
      <c r="U251" s="18">
        <v>72.8</v>
      </c>
      <c r="V251" s="18">
        <f t="shared" si="17"/>
        <v>149.9</v>
      </c>
      <c r="W251" s="18">
        <f t="shared" si="18"/>
        <v>9.58</v>
      </c>
      <c r="X251" s="18">
        <f t="shared" si="19"/>
        <v>940.4</v>
      </c>
      <c r="Y251" s="18"/>
      <c r="Z251" s="18"/>
    </row>
    <row r="252" ht="29.25" spans="1:31">
      <c r="A252">
        <v>2020</v>
      </c>
      <c r="B252" s="3">
        <v>46082</v>
      </c>
      <c r="C252" s="4" t="s">
        <v>1666</v>
      </c>
      <c r="D252" s="4" t="s">
        <v>1667</v>
      </c>
      <c r="E252" s="4" t="s">
        <v>1668</v>
      </c>
      <c r="F252" s="4" t="s">
        <v>1669</v>
      </c>
      <c r="G252" s="4" t="s">
        <v>1670</v>
      </c>
      <c r="H252" s="4" t="str">
        <f t="shared" si="15"/>
        <v>75.95</v>
      </c>
      <c r="I252" s="3">
        <v>46082</v>
      </c>
      <c r="J252" s="6">
        <v>452</v>
      </c>
      <c r="K252" s="4">
        <v>465.7</v>
      </c>
      <c r="L252" s="4" t="s">
        <v>1671</v>
      </c>
      <c r="M252" s="4" t="s">
        <v>1672</v>
      </c>
      <c r="N252" s="4" t="s">
        <v>1317</v>
      </c>
      <c r="O252" s="4">
        <v>414.5</v>
      </c>
      <c r="P252" s="4">
        <v>10.91</v>
      </c>
      <c r="Q252" s="4">
        <v>26.4</v>
      </c>
      <c r="R252" s="4">
        <v>3.48</v>
      </c>
      <c r="S252" s="4">
        <v>3.25</v>
      </c>
      <c r="T252">
        <f t="shared" si="16"/>
        <v>13.34</v>
      </c>
      <c r="U252" s="18">
        <v>74.5</v>
      </c>
      <c r="V252" s="18">
        <f t="shared" si="17"/>
        <v>150.45</v>
      </c>
      <c r="W252" s="18">
        <f t="shared" si="18"/>
        <v>8.41</v>
      </c>
      <c r="X252" s="18">
        <f t="shared" si="19"/>
        <v>917.7</v>
      </c>
      <c r="Y252" s="18"/>
      <c r="Z252" s="18"/>
    </row>
    <row r="253" ht="29.25" spans="1:31">
      <c r="A253">
        <v>2020</v>
      </c>
      <c r="B253" s="3">
        <v>46113</v>
      </c>
      <c r="C253" s="4" t="s">
        <v>1673</v>
      </c>
      <c r="D253" s="4" t="s">
        <v>1674</v>
      </c>
      <c r="E253" s="4" t="s">
        <v>1675</v>
      </c>
      <c r="F253" s="4" t="s">
        <v>1676</v>
      </c>
      <c r="G253" s="4" t="s">
        <v>1677</v>
      </c>
      <c r="H253" s="4" t="str">
        <f t="shared" si="15"/>
        <v>73.80</v>
      </c>
      <c r="I253" s="3">
        <v>46113</v>
      </c>
      <c r="J253" s="6">
        <v>445</v>
      </c>
      <c r="K253" s="4">
        <v>438.2</v>
      </c>
      <c r="L253" s="4" t="s">
        <v>1678</v>
      </c>
      <c r="M253" s="6" t="s">
        <v>1607</v>
      </c>
      <c r="N253" s="4" t="s">
        <v>1309</v>
      </c>
      <c r="O253" s="4">
        <v>416.21</v>
      </c>
      <c r="P253" s="4">
        <v>11.08</v>
      </c>
      <c r="Q253" s="4">
        <v>28.2</v>
      </c>
      <c r="R253" s="4">
        <v>4.05</v>
      </c>
      <c r="S253" s="4">
        <v>2.12</v>
      </c>
      <c r="T253">
        <f t="shared" si="16"/>
        <v>11.6</v>
      </c>
      <c r="U253" s="18">
        <v>76.2</v>
      </c>
      <c r="V253" s="18">
        <f t="shared" si="17"/>
        <v>150</v>
      </c>
      <c r="W253" s="18">
        <f t="shared" si="18"/>
        <v>6.25</v>
      </c>
      <c r="X253" s="18">
        <f t="shared" si="19"/>
        <v>883.2</v>
      </c>
      <c r="Y253" s="18"/>
      <c r="Z253" s="18"/>
    </row>
    <row r="254" ht="29.25" spans="1:31">
      <c r="A254">
        <v>2020</v>
      </c>
      <c r="B254" s="3">
        <v>46143</v>
      </c>
      <c r="C254" s="4" t="s">
        <v>1679</v>
      </c>
      <c r="D254" s="4" t="s">
        <v>1680</v>
      </c>
      <c r="E254" s="4" t="s">
        <v>1681</v>
      </c>
      <c r="F254" s="4" t="s">
        <v>1682</v>
      </c>
      <c r="G254" s="4" t="s">
        <v>1683</v>
      </c>
      <c r="H254" s="4" t="str">
        <f t="shared" si="15"/>
        <v>71.45</v>
      </c>
      <c r="I254" s="3">
        <v>46143</v>
      </c>
      <c r="J254" s="6">
        <v>430</v>
      </c>
      <c r="K254" s="4">
        <v>415.6</v>
      </c>
      <c r="L254" s="4" t="s">
        <v>1684</v>
      </c>
      <c r="M254" s="4" t="s">
        <v>1600</v>
      </c>
      <c r="N254" s="4" t="s">
        <v>1608</v>
      </c>
      <c r="O254" s="6">
        <v>417.07</v>
      </c>
      <c r="P254" s="4">
        <v>11.28</v>
      </c>
      <c r="Q254" s="4">
        <v>30.5</v>
      </c>
      <c r="R254" s="4">
        <v>4.62</v>
      </c>
      <c r="S254" s="4">
        <v>1.68</v>
      </c>
      <c r="T254">
        <f t="shared" si="16"/>
        <v>9.25</v>
      </c>
      <c r="U254" s="18">
        <v>78.5</v>
      </c>
      <c r="V254" s="18">
        <f t="shared" si="17"/>
        <v>149.95</v>
      </c>
      <c r="W254" s="18">
        <f t="shared" si="18"/>
        <v>3.89</v>
      </c>
      <c r="X254" s="18">
        <f t="shared" si="19"/>
        <v>845.6</v>
      </c>
      <c r="Y254" s="18"/>
      <c r="Z254" s="18"/>
    </row>
    <row r="255" ht="42.75" spans="1:31">
      <c r="A255">
        <v>2020</v>
      </c>
      <c r="B255" s="3">
        <v>46174</v>
      </c>
      <c r="C255" s="4" t="s">
        <v>1685</v>
      </c>
      <c r="D255" s="4" t="s">
        <v>1686</v>
      </c>
      <c r="E255" s="4" t="s">
        <v>1687</v>
      </c>
      <c r="F255" s="4" t="s">
        <v>1688</v>
      </c>
      <c r="G255" s="4" t="s">
        <v>1689</v>
      </c>
      <c r="H255" s="4" t="str">
        <f t="shared" si="15"/>
        <v>69.90</v>
      </c>
      <c r="I255" s="3">
        <v>46174</v>
      </c>
      <c r="J255" s="6">
        <v>422</v>
      </c>
      <c r="K255" s="6">
        <v>402.1</v>
      </c>
      <c r="L255" s="6" t="s">
        <v>1690</v>
      </c>
      <c r="M255" s="4" t="s">
        <v>1691</v>
      </c>
      <c r="N255" s="4" t="s">
        <v>1384</v>
      </c>
      <c r="O255" s="4">
        <v>416.39</v>
      </c>
      <c r="P255" s="4">
        <v>11.51</v>
      </c>
      <c r="Q255" s="4">
        <v>27.4</v>
      </c>
      <c r="R255" s="4">
        <v>5.35</v>
      </c>
      <c r="S255" s="4">
        <v>1.15</v>
      </c>
      <c r="T255">
        <f t="shared" si="16"/>
        <v>6.90000000000001</v>
      </c>
      <c r="U255" s="18">
        <v>80.8</v>
      </c>
      <c r="V255" s="18">
        <f t="shared" si="17"/>
        <v>150.7</v>
      </c>
      <c r="W255" s="18">
        <f t="shared" si="18"/>
        <v>2.33000000000001</v>
      </c>
      <c r="X255" s="18">
        <f t="shared" si="19"/>
        <v>824.1</v>
      </c>
      <c r="Y255" s="18"/>
      <c r="Z255" s="18"/>
    </row>
    <row r="256" ht="42.75" spans="1:31">
      <c r="A256">
        <v>2020</v>
      </c>
      <c r="B256" s="3">
        <v>46204</v>
      </c>
      <c r="C256" s="4" t="s">
        <v>1692</v>
      </c>
      <c r="D256" s="4" t="s">
        <v>1693</v>
      </c>
      <c r="E256" s="4" t="s">
        <v>1610</v>
      </c>
      <c r="F256" s="4" t="s">
        <v>1694</v>
      </c>
      <c r="G256" s="6" t="s">
        <v>1695</v>
      </c>
      <c r="H256" s="4" t="str">
        <f t="shared" si="15"/>
        <v>68.95</v>
      </c>
      <c r="I256" s="3">
        <v>46204</v>
      </c>
      <c r="J256" s="6">
        <v>415</v>
      </c>
      <c r="K256" s="6">
        <v>395.4</v>
      </c>
      <c r="L256" s="6" t="s">
        <v>1696</v>
      </c>
      <c r="M256" s="4" t="s">
        <v>1697</v>
      </c>
      <c r="N256" s="4" t="s">
        <v>1257</v>
      </c>
      <c r="O256" s="4">
        <v>414.38</v>
      </c>
      <c r="P256" s="6">
        <v>11.69</v>
      </c>
      <c r="Q256" s="4">
        <v>26.8</v>
      </c>
      <c r="R256" s="6">
        <v>5.82</v>
      </c>
      <c r="S256" s="6">
        <v>0.95</v>
      </c>
      <c r="T256">
        <f t="shared" si="16"/>
        <v>4.16</v>
      </c>
      <c r="U256" s="18">
        <v>83.5</v>
      </c>
      <c r="V256" s="18">
        <f t="shared" si="17"/>
        <v>152.45</v>
      </c>
      <c r="W256" s="18">
        <f t="shared" si="18"/>
        <v>1.37</v>
      </c>
      <c r="X256" s="18">
        <f t="shared" si="19"/>
        <v>810.4</v>
      </c>
      <c r="Y256" s="18"/>
      <c r="Z256" s="18"/>
    </row>
    <row r="257" ht="29.25" spans="1:31">
      <c r="A257">
        <v>2020</v>
      </c>
      <c r="B257" s="3">
        <v>46235</v>
      </c>
      <c r="C257" s="4" t="s">
        <v>1698</v>
      </c>
      <c r="D257" s="4" t="s">
        <v>1699</v>
      </c>
      <c r="E257" s="6" t="s">
        <v>1700</v>
      </c>
      <c r="F257" s="4" t="s">
        <v>1701</v>
      </c>
      <c r="G257" s="4" t="s">
        <v>1702</v>
      </c>
      <c r="H257" s="4" t="str">
        <f t="shared" si="15"/>
        <v>70.12</v>
      </c>
      <c r="I257" s="3">
        <v>46235</v>
      </c>
      <c r="J257" s="6">
        <v>418</v>
      </c>
      <c r="K257" s="4">
        <v>405.8</v>
      </c>
      <c r="L257" s="4" t="s">
        <v>1703</v>
      </c>
      <c r="M257" s="4" t="s">
        <v>1704</v>
      </c>
      <c r="N257" s="4" t="s">
        <v>1249</v>
      </c>
      <c r="O257" s="4">
        <v>412.55</v>
      </c>
      <c r="P257" s="6">
        <v>11.75</v>
      </c>
      <c r="Q257" s="4">
        <v>29.5</v>
      </c>
      <c r="R257" s="4">
        <v>5.12</v>
      </c>
      <c r="S257" s="4">
        <v>1.02</v>
      </c>
      <c r="T257">
        <f t="shared" si="16"/>
        <v>5.41</v>
      </c>
      <c r="U257" s="18">
        <v>82.2</v>
      </c>
      <c r="V257" s="18">
        <f t="shared" si="17"/>
        <v>152.32</v>
      </c>
      <c r="W257" s="18">
        <f t="shared" si="18"/>
        <v>2.52000000000001</v>
      </c>
      <c r="X257" s="18">
        <f t="shared" si="19"/>
        <v>823.8</v>
      </c>
      <c r="Y257" s="18"/>
      <c r="Z257" s="18"/>
    </row>
    <row r="258" ht="29.25" spans="1:31">
      <c r="A258">
        <v>2020</v>
      </c>
      <c r="B258" s="3">
        <v>46266</v>
      </c>
      <c r="C258" s="4" t="s">
        <v>1705</v>
      </c>
      <c r="D258" s="4" t="s">
        <v>1706</v>
      </c>
      <c r="E258" s="4" t="s">
        <v>721</v>
      </c>
      <c r="F258" s="4" t="s">
        <v>1707</v>
      </c>
      <c r="G258" s="4" t="s">
        <v>1708</v>
      </c>
      <c r="H258" s="4" t="str">
        <f t="shared" si="15"/>
        <v>71.85</v>
      </c>
      <c r="I258" s="3">
        <v>46266</v>
      </c>
      <c r="J258" s="6">
        <v>430</v>
      </c>
      <c r="K258" s="4">
        <v>428.3</v>
      </c>
      <c r="L258" s="4" t="s">
        <v>1709</v>
      </c>
      <c r="M258" s="4" t="s">
        <v>1710</v>
      </c>
      <c r="N258" s="4" t="s">
        <v>1369</v>
      </c>
      <c r="O258" s="6">
        <v>411.29</v>
      </c>
      <c r="P258" s="4">
        <v>11.42</v>
      </c>
      <c r="Q258" s="4">
        <v>32.6</v>
      </c>
      <c r="R258" s="4">
        <v>4.22</v>
      </c>
      <c r="S258" s="4">
        <v>1.98</v>
      </c>
      <c r="T258">
        <f t="shared" si="16"/>
        <v>8.06999999999999</v>
      </c>
      <c r="U258" s="18">
        <v>79.5</v>
      </c>
      <c r="V258" s="18">
        <f t="shared" si="17"/>
        <v>151.35</v>
      </c>
      <c r="W258" s="18">
        <f t="shared" si="18"/>
        <v>4.23999999999999</v>
      </c>
      <c r="X258" s="18">
        <f t="shared" si="19"/>
        <v>858.3</v>
      </c>
      <c r="Y258" s="18"/>
      <c r="Z258" s="18"/>
    </row>
    <row r="259" ht="29.25" spans="1:31">
      <c r="A259">
        <v>2020</v>
      </c>
      <c r="B259" s="3">
        <v>46296</v>
      </c>
      <c r="C259" s="4" t="s">
        <v>1711</v>
      </c>
      <c r="D259" s="4" t="s">
        <v>1712</v>
      </c>
      <c r="E259" s="4" t="s">
        <v>1713</v>
      </c>
      <c r="F259" s="4" t="s">
        <v>1714</v>
      </c>
      <c r="G259" s="4" t="s">
        <v>1715</v>
      </c>
      <c r="H259" s="4" t="str">
        <f t="shared" ref="H259:H322" si="20">LEFT(G259,5)</f>
        <v>74.30</v>
      </c>
      <c r="I259" s="3">
        <v>46296</v>
      </c>
      <c r="J259" s="6">
        <v>445</v>
      </c>
      <c r="K259" s="4">
        <v>448.2</v>
      </c>
      <c r="L259" s="4" t="s">
        <v>1716</v>
      </c>
      <c r="M259" s="4" t="s">
        <v>1541</v>
      </c>
      <c r="N259" s="4" t="s">
        <v>1717</v>
      </c>
      <c r="O259" s="4">
        <v>411.28</v>
      </c>
      <c r="P259" s="4">
        <v>11.12</v>
      </c>
      <c r="Q259" s="6">
        <v>42.4</v>
      </c>
      <c r="R259" s="4">
        <v>3.65</v>
      </c>
      <c r="S259" s="4">
        <v>2.85</v>
      </c>
      <c r="T259">
        <f t="shared" ref="T259:T322" si="21">LEFT(C259,5)-LEFT(D259,4)</f>
        <v>9.72</v>
      </c>
      <c r="U259" s="18">
        <v>77.8</v>
      </c>
      <c r="V259" s="18">
        <f t="shared" ref="V259:V322" si="22">LEFT(D259,4)+LEFT(G259,5)</f>
        <v>152.1</v>
      </c>
      <c r="W259" s="18">
        <f t="shared" ref="W259:W322" si="23">LEFT(G259,5)-LEFT(F259,5)</f>
        <v>6.67999999999999</v>
      </c>
      <c r="X259" s="18">
        <f t="shared" ref="X259:X322" si="24">SUM(J259:K259)</f>
        <v>893.2</v>
      </c>
      <c r="Y259" s="18"/>
      <c r="Z259" s="18"/>
    </row>
    <row r="260" ht="30" spans="1:31">
      <c r="A260">
        <v>2020</v>
      </c>
      <c r="B260" s="3">
        <v>46327</v>
      </c>
      <c r="C260" s="4" t="s">
        <v>1718</v>
      </c>
      <c r="D260" s="4" t="s">
        <v>1638</v>
      </c>
      <c r="E260" s="4" t="s">
        <v>1719</v>
      </c>
      <c r="F260" s="4" t="s">
        <v>1720</v>
      </c>
      <c r="G260" s="6" t="s">
        <v>1721</v>
      </c>
      <c r="H260" s="4" t="str">
        <f t="shared" si="20"/>
        <v>77.15</v>
      </c>
      <c r="I260" s="3">
        <v>46327</v>
      </c>
      <c r="J260" s="6">
        <v>458</v>
      </c>
      <c r="K260" s="4">
        <v>472.6</v>
      </c>
      <c r="L260" s="4" t="s">
        <v>1722</v>
      </c>
      <c r="M260" s="4" t="s">
        <v>1503</v>
      </c>
      <c r="N260" s="4" t="s">
        <v>1723</v>
      </c>
      <c r="O260" s="4">
        <v>412.89</v>
      </c>
      <c r="P260" s="4">
        <v>10.95</v>
      </c>
      <c r="Q260" s="6">
        <v>45.8</v>
      </c>
      <c r="R260" s="4">
        <v>3.18</v>
      </c>
      <c r="S260" s="4">
        <v>3.22</v>
      </c>
      <c r="T260">
        <f t="shared" si="21"/>
        <v>11.68</v>
      </c>
      <c r="U260" s="18">
        <v>75.8</v>
      </c>
      <c r="V260" s="18">
        <f t="shared" si="22"/>
        <v>152.95</v>
      </c>
      <c r="W260" s="18">
        <f t="shared" si="23"/>
        <v>9.52000000000001</v>
      </c>
      <c r="X260" s="18">
        <f t="shared" si="24"/>
        <v>930.6</v>
      </c>
      <c r="Y260" s="18"/>
      <c r="Z260" s="18"/>
    </row>
    <row r="261" ht="30" spans="1:31">
      <c r="A261">
        <v>2020</v>
      </c>
      <c r="B261" s="3">
        <v>46357</v>
      </c>
      <c r="C261" s="4" t="s">
        <v>1724</v>
      </c>
      <c r="D261" s="4" t="s">
        <v>1725</v>
      </c>
      <c r="E261" s="4" t="s">
        <v>1726</v>
      </c>
      <c r="F261" s="4" t="s">
        <v>1727</v>
      </c>
      <c r="G261" s="6" t="s">
        <v>1728</v>
      </c>
      <c r="H261" s="4" t="str">
        <f t="shared" si="20"/>
        <v>78.45</v>
      </c>
      <c r="I261" s="3">
        <v>46357</v>
      </c>
      <c r="J261" s="6">
        <v>468</v>
      </c>
      <c r="K261" s="6">
        <v>496.5</v>
      </c>
      <c r="L261" s="4" t="s">
        <v>1729</v>
      </c>
      <c r="M261" s="6" t="s">
        <v>701</v>
      </c>
      <c r="N261" s="6" t="s">
        <v>1730</v>
      </c>
      <c r="O261" s="4">
        <v>414.09</v>
      </c>
      <c r="P261" s="4">
        <v>10.82</v>
      </c>
      <c r="Q261" s="4">
        <v>41.2</v>
      </c>
      <c r="R261" s="4">
        <v>3.05</v>
      </c>
      <c r="S261" s="4">
        <v>3.65</v>
      </c>
      <c r="T261">
        <f t="shared" si="21"/>
        <v>13.23</v>
      </c>
      <c r="U261" s="18">
        <v>74.2</v>
      </c>
      <c r="V261" s="18">
        <f t="shared" si="22"/>
        <v>152.65</v>
      </c>
      <c r="W261" s="18">
        <f t="shared" si="23"/>
        <v>10.8</v>
      </c>
      <c r="X261" s="18">
        <f t="shared" si="24"/>
        <v>964.5</v>
      </c>
      <c r="Y261" s="18">
        <f>AVERAGE(X250:X261)</f>
        <v>886.283333333333</v>
      </c>
      <c r="Z261" s="18">
        <f>AVERAGE(W250:W252)</f>
        <v>9.35999999999999</v>
      </c>
      <c r="AA261">
        <f>(SUM(U250:U261)-SUM(U256:U258))/9</f>
        <v>75.8444444444444</v>
      </c>
      <c r="AB261">
        <f>AVERAGE(T250:T261)</f>
        <v>10.365</v>
      </c>
      <c r="AC261">
        <f>(SUM(T250:T261)-T257)/11</f>
        <v>10.8154545454545</v>
      </c>
      <c r="AD261">
        <f>AVERAGE(T250:T252)</f>
        <v>14.7866666666667</v>
      </c>
      <c r="AE261">
        <f>AVERAGE(V250:V261)</f>
        <v>151.201666666667</v>
      </c>
    </row>
    <row r="262" ht="60.75" spans="1:31">
      <c r="B262" s="6" t="s">
        <v>1731</v>
      </c>
      <c r="C262" s="6" t="s">
        <v>396</v>
      </c>
      <c r="D262" s="6" t="s">
        <v>8</v>
      </c>
      <c r="E262" s="6" t="s">
        <v>124</v>
      </c>
      <c r="F262" s="6" t="s">
        <v>10</v>
      </c>
      <c r="G262" s="6" t="s">
        <v>125</v>
      </c>
      <c r="H262" s="4" t="str">
        <f t="shared" si="20"/>
        <v>650 氢</v>
      </c>
      <c r="I262" s="6" t="s">
        <v>1731</v>
      </c>
      <c r="J262" s="6" t="s">
        <v>126</v>
      </c>
      <c r="K262" s="6" t="s">
        <v>126</v>
      </c>
      <c r="L262" s="6" t="s">
        <v>127</v>
      </c>
      <c r="M262" s="6" t="s">
        <v>15</v>
      </c>
      <c r="N262" s="6" t="s">
        <v>16</v>
      </c>
      <c r="O262" s="6" t="s">
        <v>17</v>
      </c>
      <c r="P262" s="6" t="s">
        <v>18</v>
      </c>
      <c r="Q262" s="6" t="s">
        <v>19</v>
      </c>
      <c r="R262" s="6" t="s">
        <v>128</v>
      </c>
      <c r="S262" s="6" t="s">
        <v>21</v>
      </c>
      <c r="T262" t="e">
        <f t="shared" si="21"/>
        <v>#VALUE!</v>
      </c>
      <c r="U262" s="19" t="s">
        <v>129</v>
      </c>
      <c r="V262" s="18" t="e">
        <f t="shared" si="22"/>
        <v>#VALUE!</v>
      </c>
      <c r="W262" s="18" t="e">
        <f t="shared" si="23"/>
        <v>#VALUE!</v>
      </c>
      <c r="X262" s="18">
        <f t="shared" si="24"/>
        <v>0</v>
      </c>
      <c r="Y262" s="18"/>
      <c r="Z262" s="18"/>
    </row>
    <row r="263" ht="44.25" spans="1:31">
      <c r="A263">
        <v>2021</v>
      </c>
      <c r="B263" s="3">
        <v>46023</v>
      </c>
      <c r="C263" s="4" t="s">
        <v>1732</v>
      </c>
      <c r="D263" s="4" t="s">
        <v>1733</v>
      </c>
      <c r="E263" s="4" t="s">
        <v>1734</v>
      </c>
      <c r="F263" s="4" t="s">
        <v>1735</v>
      </c>
      <c r="G263" s="6" t="s">
        <v>1736</v>
      </c>
      <c r="H263" s="4" t="str">
        <f t="shared" si="20"/>
        <v>79.15</v>
      </c>
      <c r="I263" s="3">
        <v>46023</v>
      </c>
      <c r="J263" s="6">
        <v>478</v>
      </c>
      <c r="K263" s="6">
        <v>512.4</v>
      </c>
      <c r="L263" s="6" t="s">
        <v>1737</v>
      </c>
      <c r="M263" s="6" t="s">
        <v>685</v>
      </c>
      <c r="N263" s="6" t="s">
        <v>1214</v>
      </c>
      <c r="O263" s="4">
        <v>415.52</v>
      </c>
      <c r="P263" s="4">
        <v>10.68</v>
      </c>
      <c r="Q263" s="4">
        <v>28.5</v>
      </c>
      <c r="R263" s="4">
        <v>3.12</v>
      </c>
      <c r="S263" s="4">
        <v>3.85</v>
      </c>
      <c r="T263">
        <f t="shared" si="21"/>
        <v>15.38</v>
      </c>
      <c r="U263" s="18">
        <v>72</v>
      </c>
      <c r="V263" s="18">
        <f t="shared" si="22"/>
        <v>151.15</v>
      </c>
      <c r="W263" s="18">
        <f t="shared" si="23"/>
        <v>11.49</v>
      </c>
      <c r="X263" s="18">
        <f t="shared" si="24"/>
        <v>990.4</v>
      </c>
      <c r="Y263" s="18"/>
      <c r="Z263" s="18"/>
    </row>
    <row r="264" ht="29.25" spans="1:31">
      <c r="A264">
        <v>2021</v>
      </c>
      <c r="B264" s="3">
        <v>46054</v>
      </c>
      <c r="C264" s="4" t="s">
        <v>1738</v>
      </c>
      <c r="D264" s="4" t="s">
        <v>1739</v>
      </c>
      <c r="E264" s="4" t="s">
        <v>1740</v>
      </c>
      <c r="F264" s="4" t="s">
        <v>1741</v>
      </c>
      <c r="G264" s="4" t="s">
        <v>1742</v>
      </c>
      <c r="H264" s="4" t="str">
        <f t="shared" si="20"/>
        <v>78.40</v>
      </c>
      <c r="I264" s="3">
        <v>46054</v>
      </c>
      <c r="J264" s="6">
        <v>482</v>
      </c>
      <c r="K264" s="4">
        <v>505.7</v>
      </c>
      <c r="L264" s="4" t="s">
        <v>1743</v>
      </c>
      <c r="M264" s="4" t="s">
        <v>1744</v>
      </c>
      <c r="N264" s="4" t="s">
        <v>1451</v>
      </c>
      <c r="O264" s="4">
        <v>416.75</v>
      </c>
      <c r="P264" s="4">
        <v>10.74</v>
      </c>
      <c r="Q264" s="4">
        <v>30.2</v>
      </c>
      <c r="R264" s="4">
        <v>3.25</v>
      </c>
      <c r="S264" s="4">
        <v>3.92</v>
      </c>
      <c r="T264">
        <f t="shared" si="21"/>
        <v>14.53</v>
      </c>
      <c r="U264" s="18">
        <v>72.8</v>
      </c>
      <c r="V264" s="18">
        <f t="shared" si="22"/>
        <v>151.2</v>
      </c>
      <c r="W264" s="18">
        <f t="shared" si="23"/>
        <v>10.73</v>
      </c>
      <c r="X264" s="18">
        <f t="shared" si="24"/>
        <v>987.7</v>
      </c>
      <c r="Y264" s="18"/>
      <c r="Z264" s="18"/>
    </row>
    <row r="265" ht="29.25" spans="1:31">
      <c r="A265">
        <v>2021</v>
      </c>
      <c r="B265" s="3">
        <v>46082</v>
      </c>
      <c r="C265" s="4" t="s">
        <v>1745</v>
      </c>
      <c r="D265" s="4" t="s">
        <v>1746</v>
      </c>
      <c r="E265" s="4" t="s">
        <v>1747</v>
      </c>
      <c r="F265" s="4" t="s">
        <v>1748</v>
      </c>
      <c r="G265" s="4" t="s">
        <v>1749</v>
      </c>
      <c r="H265" s="4" t="str">
        <f t="shared" si="20"/>
        <v>77.25</v>
      </c>
      <c r="I265" s="3">
        <v>46082</v>
      </c>
      <c r="J265" s="6">
        <v>475</v>
      </c>
      <c r="K265" s="4">
        <v>488.2</v>
      </c>
      <c r="L265" s="4" t="s">
        <v>1750</v>
      </c>
      <c r="M265" s="4" t="s">
        <v>631</v>
      </c>
      <c r="N265" s="4" t="s">
        <v>575</v>
      </c>
      <c r="O265" s="4">
        <v>417.64</v>
      </c>
      <c r="P265" s="4">
        <v>10.88</v>
      </c>
      <c r="Q265" s="4">
        <v>38.6</v>
      </c>
      <c r="R265" s="4">
        <v>3.58</v>
      </c>
      <c r="S265" s="4">
        <v>3.82</v>
      </c>
      <c r="T265">
        <f t="shared" si="21"/>
        <v>12.49</v>
      </c>
      <c r="U265" s="18">
        <v>74.8</v>
      </c>
      <c r="V265" s="18">
        <f t="shared" si="22"/>
        <v>152.05</v>
      </c>
      <c r="W265" s="18">
        <f t="shared" si="23"/>
        <v>9.56</v>
      </c>
      <c r="X265" s="18">
        <f t="shared" si="24"/>
        <v>963.2</v>
      </c>
      <c r="Y265" s="18"/>
      <c r="Z265" s="18"/>
    </row>
    <row r="266" ht="41.25" spans="1:31">
      <c r="A266">
        <v>2021</v>
      </c>
      <c r="B266" s="3">
        <v>46113</v>
      </c>
      <c r="C266" s="4" t="s">
        <v>1751</v>
      </c>
      <c r="D266" s="4" t="s">
        <v>1752</v>
      </c>
      <c r="E266" s="6" t="s">
        <v>1753</v>
      </c>
      <c r="F266" s="4" t="s">
        <v>1754</v>
      </c>
      <c r="G266" s="4" t="s">
        <v>1755</v>
      </c>
      <c r="H266" s="4" t="str">
        <f t="shared" si="20"/>
        <v>74.80</v>
      </c>
      <c r="I266" s="3">
        <v>46113</v>
      </c>
      <c r="J266" s="6">
        <v>468</v>
      </c>
      <c r="K266" s="4">
        <v>465.4</v>
      </c>
      <c r="L266" s="4" t="s">
        <v>1756</v>
      </c>
      <c r="M266" s="4" t="s">
        <v>1757</v>
      </c>
      <c r="N266" s="4" t="s">
        <v>1249</v>
      </c>
      <c r="O266" s="4">
        <v>419.02</v>
      </c>
      <c r="P266" s="4">
        <v>11.05</v>
      </c>
      <c r="Q266" s="4">
        <v>41.2</v>
      </c>
      <c r="R266" s="4">
        <v>4.25</v>
      </c>
      <c r="S266" s="4">
        <v>2.55</v>
      </c>
      <c r="T266">
        <f t="shared" si="21"/>
        <v>10.74</v>
      </c>
      <c r="U266" s="18">
        <v>76.5</v>
      </c>
      <c r="V266" s="18">
        <f t="shared" si="22"/>
        <v>151.3</v>
      </c>
      <c r="W266" s="18">
        <f t="shared" si="23"/>
        <v>7.09999999999999</v>
      </c>
      <c r="X266" s="18">
        <f t="shared" si="24"/>
        <v>933.4</v>
      </c>
      <c r="Y266" s="18"/>
      <c r="Z266" s="18"/>
    </row>
    <row r="267" ht="29.25" spans="1:31">
      <c r="A267">
        <v>2021</v>
      </c>
      <c r="B267" s="3">
        <v>46143</v>
      </c>
      <c r="C267" s="4" t="s">
        <v>1758</v>
      </c>
      <c r="D267" s="4" t="s">
        <v>1759</v>
      </c>
      <c r="E267" s="4" t="s">
        <v>1760</v>
      </c>
      <c r="F267" s="4" t="s">
        <v>1761</v>
      </c>
      <c r="G267" s="4" t="s">
        <v>1762</v>
      </c>
      <c r="H267" s="4" t="str">
        <f t="shared" si="20"/>
        <v>72.45</v>
      </c>
      <c r="I267" s="3">
        <v>46143</v>
      </c>
      <c r="J267" s="6">
        <v>455</v>
      </c>
      <c r="K267" s="4">
        <v>442.8</v>
      </c>
      <c r="L267" s="4" t="s">
        <v>1763</v>
      </c>
      <c r="M267" s="4" t="s">
        <v>859</v>
      </c>
      <c r="N267" s="4" t="s">
        <v>1179</v>
      </c>
      <c r="O267" s="6">
        <v>419.13</v>
      </c>
      <c r="P267" s="4">
        <v>11.25</v>
      </c>
      <c r="Q267" s="4">
        <v>43.5</v>
      </c>
      <c r="R267" s="4">
        <v>4.88</v>
      </c>
      <c r="S267" s="4">
        <v>1.98</v>
      </c>
      <c r="T267">
        <f t="shared" si="21"/>
        <v>8.40000000000001</v>
      </c>
      <c r="U267" s="18">
        <v>78.8</v>
      </c>
      <c r="V267" s="18">
        <f t="shared" si="22"/>
        <v>151.25</v>
      </c>
      <c r="W267" s="18">
        <f t="shared" si="23"/>
        <v>4.74000000000001</v>
      </c>
      <c r="X267" s="18">
        <f t="shared" si="24"/>
        <v>897.8</v>
      </c>
      <c r="Y267" s="18"/>
      <c r="Z267" s="18"/>
    </row>
    <row r="268" ht="29.25" spans="1:31">
      <c r="A268">
        <v>2021</v>
      </c>
      <c r="B268" s="3">
        <v>46174</v>
      </c>
      <c r="C268" s="4" t="s">
        <v>1764</v>
      </c>
      <c r="D268" s="4" t="s">
        <v>1765</v>
      </c>
      <c r="E268" s="4" t="s">
        <v>1766</v>
      </c>
      <c r="F268" s="4" t="s">
        <v>1767</v>
      </c>
      <c r="G268" s="4" t="s">
        <v>1768</v>
      </c>
      <c r="H268" s="4" t="str">
        <f t="shared" si="20"/>
        <v>71.10</v>
      </c>
      <c r="I268" s="3">
        <v>46174</v>
      </c>
      <c r="J268" s="6">
        <v>442</v>
      </c>
      <c r="K268" s="4">
        <v>428.1</v>
      </c>
      <c r="L268" s="6" t="s">
        <v>1769</v>
      </c>
      <c r="M268" s="4" t="s">
        <v>589</v>
      </c>
      <c r="N268" s="4" t="s">
        <v>1770</v>
      </c>
      <c r="O268" s="4">
        <v>418.91</v>
      </c>
      <c r="P268" s="4">
        <v>11.48</v>
      </c>
      <c r="Q268" s="4">
        <v>39.4</v>
      </c>
      <c r="R268" s="4">
        <v>5.62</v>
      </c>
      <c r="S268" s="4">
        <v>1.45</v>
      </c>
      <c r="T268">
        <f t="shared" si="21"/>
        <v>5.95</v>
      </c>
      <c r="U268" s="18">
        <v>81.2</v>
      </c>
      <c r="V268" s="18">
        <f t="shared" si="22"/>
        <v>152.3</v>
      </c>
      <c r="W268" s="18">
        <f t="shared" si="23"/>
        <v>3.38</v>
      </c>
      <c r="X268" s="18">
        <f t="shared" si="24"/>
        <v>870.1</v>
      </c>
      <c r="Y268" s="18"/>
      <c r="Z268" s="18"/>
    </row>
    <row r="269" ht="30" spans="1:31">
      <c r="A269">
        <v>2021</v>
      </c>
      <c r="B269" s="3">
        <v>46204</v>
      </c>
      <c r="C269" s="4" t="s">
        <v>1771</v>
      </c>
      <c r="D269" s="6" t="s">
        <v>1772</v>
      </c>
      <c r="E269" s="6" t="s">
        <v>1773</v>
      </c>
      <c r="F269" s="4" t="s">
        <v>1774</v>
      </c>
      <c r="G269" s="6" t="s">
        <v>1775</v>
      </c>
      <c r="H269" s="4" t="str">
        <f t="shared" si="20"/>
        <v>69.85</v>
      </c>
      <c r="I269" s="3">
        <v>46204</v>
      </c>
      <c r="J269" s="6">
        <v>435</v>
      </c>
      <c r="K269" s="6">
        <v>418.5</v>
      </c>
      <c r="L269" s="6" t="s">
        <v>1776</v>
      </c>
      <c r="M269" s="4" t="s">
        <v>582</v>
      </c>
      <c r="N269" s="4" t="s">
        <v>1265</v>
      </c>
      <c r="O269" s="4">
        <v>416.35</v>
      </c>
      <c r="P269" s="6">
        <v>11.66</v>
      </c>
      <c r="Q269" s="4">
        <v>37.8</v>
      </c>
      <c r="R269" s="6">
        <v>6.15</v>
      </c>
      <c r="S269" s="6">
        <v>1.22</v>
      </c>
      <c r="T269">
        <f t="shared" si="21"/>
        <v>1.61</v>
      </c>
      <c r="U269" s="18">
        <v>85.5</v>
      </c>
      <c r="V269" s="18">
        <f t="shared" si="22"/>
        <v>155.35</v>
      </c>
      <c r="W269" s="18">
        <f t="shared" si="23"/>
        <v>2.11999999999999</v>
      </c>
      <c r="X269" s="18">
        <f t="shared" si="24"/>
        <v>853.5</v>
      </c>
      <c r="Y269" s="18"/>
      <c r="Z269" s="18"/>
    </row>
    <row r="270" ht="29.25" spans="1:31">
      <c r="A270">
        <v>2021</v>
      </c>
      <c r="B270" s="3">
        <v>46235</v>
      </c>
      <c r="C270" s="4" t="s">
        <v>1777</v>
      </c>
      <c r="D270" s="4" t="s">
        <v>1778</v>
      </c>
      <c r="E270" s="4" t="s">
        <v>1779</v>
      </c>
      <c r="F270" s="4" t="s">
        <v>1780</v>
      </c>
      <c r="G270" s="4" t="s">
        <v>1781</v>
      </c>
      <c r="H270" s="4" t="str">
        <f t="shared" si="20"/>
        <v>71.35</v>
      </c>
      <c r="I270" s="3">
        <v>46235</v>
      </c>
      <c r="J270" s="6">
        <v>438</v>
      </c>
      <c r="K270" s="4">
        <v>426.4</v>
      </c>
      <c r="L270" s="4" t="s">
        <v>1782</v>
      </c>
      <c r="M270" s="4" t="s">
        <v>1241</v>
      </c>
      <c r="N270" s="4" t="s">
        <v>575</v>
      </c>
      <c r="O270" s="4">
        <v>414.47</v>
      </c>
      <c r="P270" s="6">
        <v>11.73</v>
      </c>
      <c r="Q270" s="4">
        <v>42.5</v>
      </c>
      <c r="R270" s="4">
        <v>5.42</v>
      </c>
      <c r="S270" s="4">
        <v>1.38</v>
      </c>
      <c r="T270">
        <f t="shared" si="21"/>
        <v>4.56</v>
      </c>
      <c r="U270" s="18">
        <v>82.5</v>
      </c>
      <c r="V270" s="18">
        <f t="shared" si="22"/>
        <v>153.85</v>
      </c>
      <c r="W270" s="18">
        <f t="shared" si="23"/>
        <v>3.59999999999999</v>
      </c>
      <c r="X270" s="18">
        <f t="shared" si="24"/>
        <v>864.4</v>
      </c>
      <c r="Y270" s="18"/>
      <c r="Z270" s="18"/>
    </row>
    <row r="271" ht="29.25" spans="1:31">
      <c r="A271">
        <v>2021</v>
      </c>
      <c r="B271" s="3">
        <v>46266</v>
      </c>
      <c r="C271" s="4" t="s">
        <v>1783</v>
      </c>
      <c r="D271" s="4" t="s">
        <v>1784</v>
      </c>
      <c r="E271" s="4" t="s">
        <v>1127</v>
      </c>
      <c r="F271" s="4" t="s">
        <v>1785</v>
      </c>
      <c r="G271" s="4" t="s">
        <v>1786</v>
      </c>
      <c r="H271" s="4" t="str">
        <f t="shared" si="20"/>
        <v>73.80</v>
      </c>
      <c r="I271" s="3">
        <v>46266</v>
      </c>
      <c r="J271" s="6">
        <v>450</v>
      </c>
      <c r="K271" s="4">
        <v>448.7</v>
      </c>
      <c r="L271" s="4" t="s">
        <v>1787</v>
      </c>
      <c r="M271" s="4" t="s">
        <v>1227</v>
      </c>
      <c r="N271" s="4" t="s">
        <v>1273</v>
      </c>
      <c r="O271" s="6">
        <v>413.3</v>
      </c>
      <c r="P271" s="4">
        <v>11.41</v>
      </c>
      <c r="Q271" s="4">
        <v>46.8</v>
      </c>
      <c r="R271" s="4">
        <v>4.58</v>
      </c>
      <c r="S271" s="4">
        <v>2.42</v>
      </c>
      <c r="T271">
        <f t="shared" si="21"/>
        <v>7.52</v>
      </c>
      <c r="U271" s="18">
        <v>79.5</v>
      </c>
      <c r="V271" s="18">
        <f t="shared" si="22"/>
        <v>153.3</v>
      </c>
      <c r="W271" s="18">
        <f t="shared" si="23"/>
        <v>6.03999999999999</v>
      </c>
      <c r="X271" s="18">
        <f t="shared" si="24"/>
        <v>898.7</v>
      </c>
      <c r="Y271" s="18"/>
      <c r="Z271" s="18"/>
    </row>
    <row r="272" ht="29.25" spans="1:31">
      <c r="A272">
        <v>2021</v>
      </c>
      <c r="B272" s="3">
        <v>46296</v>
      </c>
      <c r="C272" s="4" t="s">
        <v>1788</v>
      </c>
      <c r="D272" s="6" t="s">
        <v>1789</v>
      </c>
      <c r="E272" s="6" t="s">
        <v>1790</v>
      </c>
      <c r="F272" s="4" t="s">
        <v>1791</v>
      </c>
      <c r="G272" s="4" t="s">
        <v>1792</v>
      </c>
      <c r="H272" s="4" t="str">
        <f t="shared" si="20"/>
        <v>76.95</v>
      </c>
      <c r="I272" s="3">
        <v>46296</v>
      </c>
      <c r="J272" s="6">
        <v>465</v>
      </c>
      <c r="K272" s="4">
        <v>472.5</v>
      </c>
      <c r="L272" s="4" t="s">
        <v>1793</v>
      </c>
      <c r="M272" s="4" t="s">
        <v>1220</v>
      </c>
      <c r="N272" s="4" t="s">
        <v>1586</v>
      </c>
      <c r="O272" s="4">
        <v>413.93</v>
      </c>
      <c r="P272" s="4">
        <v>11.11</v>
      </c>
      <c r="Q272" s="6">
        <v>58.2</v>
      </c>
      <c r="R272" s="4">
        <v>3.92</v>
      </c>
      <c r="S272" s="4">
        <v>3.65</v>
      </c>
      <c r="T272">
        <f t="shared" si="21"/>
        <v>2.77</v>
      </c>
      <c r="U272" s="18">
        <v>84.2</v>
      </c>
      <c r="V272" s="18">
        <f t="shared" si="22"/>
        <v>161.15</v>
      </c>
      <c r="W272" s="18">
        <f t="shared" si="23"/>
        <v>9.18000000000001</v>
      </c>
      <c r="X272" s="18">
        <f t="shared" si="24"/>
        <v>937.5</v>
      </c>
      <c r="Y272" s="18"/>
      <c r="Z272" s="18"/>
    </row>
    <row r="273" ht="30" spans="1:31">
      <c r="A273">
        <v>2021</v>
      </c>
      <c r="B273" s="3">
        <v>46327</v>
      </c>
      <c r="C273" s="4" t="s">
        <v>1794</v>
      </c>
      <c r="D273" s="4" t="s">
        <v>1795</v>
      </c>
      <c r="E273" s="4" t="s">
        <v>1796</v>
      </c>
      <c r="F273" s="4" t="s">
        <v>1797</v>
      </c>
      <c r="G273" s="6" t="s">
        <v>1798</v>
      </c>
      <c r="H273" s="4" t="str">
        <f t="shared" si="20"/>
        <v>80.30</v>
      </c>
      <c r="I273" s="3">
        <v>46327</v>
      </c>
      <c r="J273" s="6">
        <v>478</v>
      </c>
      <c r="K273" s="4">
        <v>502.1</v>
      </c>
      <c r="L273" s="4" t="s">
        <v>1799</v>
      </c>
      <c r="M273" s="6" t="s">
        <v>323</v>
      </c>
      <c r="N273" s="4" t="s">
        <v>1369</v>
      </c>
      <c r="O273" s="4">
        <v>415.01</v>
      </c>
      <c r="P273" s="4">
        <v>10.92</v>
      </c>
      <c r="Q273" s="6">
        <v>64.5</v>
      </c>
      <c r="R273" s="4">
        <v>3.42</v>
      </c>
      <c r="S273" s="4">
        <v>4.15</v>
      </c>
      <c r="T273">
        <f t="shared" si="21"/>
        <v>10.93</v>
      </c>
      <c r="U273" s="18">
        <v>76</v>
      </c>
      <c r="V273" s="18">
        <f t="shared" si="22"/>
        <v>156.3</v>
      </c>
      <c r="W273" s="18">
        <f t="shared" si="23"/>
        <v>12.52</v>
      </c>
      <c r="X273" s="18">
        <f t="shared" si="24"/>
        <v>980.1</v>
      </c>
      <c r="Y273" s="18"/>
      <c r="Z273" s="18"/>
    </row>
    <row r="274" ht="30" spans="1:31">
      <c r="A274">
        <v>2021</v>
      </c>
      <c r="B274" s="3">
        <v>46357</v>
      </c>
      <c r="C274" s="4" t="s">
        <v>1800</v>
      </c>
      <c r="D274" s="4" t="s">
        <v>1801</v>
      </c>
      <c r="E274" s="4" t="s">
        <v>1802</v>
      </c>
      <c r="F274" s="4" t="s">
        <v>1803</v>
      </c>
      <c r="G274" s="6" t="s">
        <v>1804</v>
      </c>
      <c r="H274" s="4" t="str">
        <f t="shared" si="20"/>
        <v>83.15</v>
      </c>
      <c r="I274" s="3">
        <v>46357</v>
      </c>
      <c r="J274" s="6">
        <v>485</v>
      </c>
      <c r="K274" s="6">
        <v>534.8</v>
      </c>
      <c r="L274" s="4" t="s">
        <v>1805</v>
      </c>
      <c r="M274" s="6" t="s">
        <v>292</v>
      </c>
      <c r="N274" s="6" t="s">
        <v>1806</v>
      </c>
      <c r="O274" s="4">
        <v>416.71</v>
      </c>
      <c r="P274" s="4">
        <v>10.81</v>
      </c>
      <c r="Q274" s="4">
        <v>52.1</v>
      </c>
      <c r="R274" s="4">
        <v>3.25</v>
      </c>
      <c r="S274" s="4">
        <v>4.45</v>
      </c>
      <c r="T274">
        <f t="shared" si="21"/>
        <v>12.38</v>
      </c>
      <c r="U274" s="18">
        <v>74.5</v>
      </c>
      <c r="V274" s="18">
        <f t="shared" si="22"/>
        <v>157.65</v>
      </c>
      <c r="W274" s="18">
        <f t="shared" si="23"/>
        <v>15.35</v>
      </c>
      <c r="X274" s="18">
        <f t="shared" si="24"/>
        <v>1019.8</v>
      </c>
      <c r="Y274" s="18">
        <f>AVERAGE(X263:X274)</f>
        <v>933.05</v>
      </c>
      <c r="Z274" s="18">
        <f>AVERAGE(W263:W265)</f>
        <v>10.5933333333333</v>
      </c>
      <c r="AA274">
        <f>(SUM(U263:U274)-SUM(U269:U271))/9</f>
        <v>76.7555555555556</v>
      </c>
      <c r="AB274">
        <f>AVERAGE(T263:T274)</f>
        <v>8.93833333333333</v>
      </c>
      <c r="AC274">
        <f>(SUM(T263:T274)-T266-T269-T272)/9</f>
        <v>10.2377777777778</v>
      </c>
      <c r="AD274">
        <f>AVERAGE(T263:T265)</f>
        <v>14.1333333333333</v>
      </c>
      <c r="AE274">
        <f>AVERAGE(V263:V274)</f>
        <v>153.904166666667</v>
      </c>
    </row>
    <row r="275" ht="60.75" spans="1:31">
      <c r="B275" s="6" t="s">
        <v>1807</v>
      </c>
      <c r="C275" s="6" t="s">
        <v>396</v>
      </c>
      <c r="D275" s="6" t="s">
        <v>8</v>
      </c>
      <c r="E275" s="6" t="s">
        <v>124</v>
      </c>
      <c r="F275" s="6" t="s">
        <v>10</v>
      </c>
      <c r="G275" s="6" t="s">
        <v>125</v>
      </c>
      <c r="H275" s="4" t="str">
        <f t="shared" si="20"/>
        <v>650 氢</v>
      </c>
      <c r="I275" s="6" t="s">
        <v>1807</v>
      </c>
      <c r="J275" s="6" t="s">
        <v>126</v>
      </c>
      <c r="K275" s="6" t="s">
        <v>126</v>
      </c>
      <c r="L275" s="6" t="s">
        <v>127</v>
      </c>
      <c r="M275" s="6" t="s">
        <v>15</v>
      </c>
      <c r="N275" s="6" t="s">
        <v>16</v>
      </c>
      <c r="O275" s="6" t="s">
        <v>17</v>
      </c>
      <c r="P275" s="6" t="s">
        <v>18</v>
      </c>
      <c r="Q275" s="6" t="s">
        <v>19</v>
      </c>
      <c r="R275" s="6" t="s">
        <v>128</v>
      </c>
      <c r="S275" s="6" t="s">
        <v>21</v>
      </c>
      <c r="T275" t="e">
        <f t="shared" si="21"/>
        <v>#VALUE!</v>
      </c>
      <c r="U275" s="19" t="s">
        <v>129</v>
      </c>
      <c r="V275" s="18" t="e">
        <f t="shared" si="22"/>
        <v>#VALUE!</v>
      </c>
      <c r="W275" s="18" t="e">
        <f t="shared" si="23"/>
        <v>#VALUE!</v>
      </c>
      <c r="X275" s="18">
        <f t="shared" si="24"/>
        <v>0</v>
      </c>
      <c r="Y275" s="18"/>
      <c r="Z275" s="18"/>
    </row>
    <row r="276" ht="30" spans="1:31">
      <c r="A276">
        <v>2022</v>
      </c>
      <c r="B276" s="3">
        <v>46023</v>
      </c>
      <c r="C276" s="4" t="s">
        <v>1808</v>
      </c>
      <c r="D276" s="4" t="s">
        <v>1809</v>
      </c>
      <c r="E276" s="4" t="s">
        <v>1654</v>
      </c>
      <c r="F276" s="4" t="s">
        <v>1810</v>
      </c>
      <c r="G276" s="6" t="s">
        <v>1811</v>
      </c>
      <c r="H276" s="4" t="str">
        <f t="shared" si="20"/>
        <v>84.30</v>
      </c>
      <c r="I276" s="3">
        <v>46023</v>
      </c>
      <c r="J276" s="6">
        <v>492</v>
      </c>
      <c r="K276" s="6">
        <v>558.4</v>
      </c>
      <c r="L276" s="6" t="s">
        <v>1812</v>
      </c>
      <c r="M276" s="6" t="s">
        <v>1071</v>
      </c>
      <c r="N276" s="6" t="s">
        <v>301</v>
      </c>
      <c r="O276" s="4">
        <v>417.99</v>
      </c>
      <c r="P276" s="4">
        <v>10.75</v>
      </c>
      <c r="Q276" s="4">
        <v>38.5</v>
      </c>
      <c r="R276" s="4">
        <v>3.22</v>
      </c>
      <c r="S276" s="4">
        <v>4.45</v>
      </c>
      <c r="T276">
        <f t="shared" si="21"/>
        <v>14.63</v>
      </c>
      <c r="U276" s="18">
        <v>72.2</v>
      </c>
      <c r="V276" s="18">
        <f t="shared" si="22"/>
        <v>156.5</v>
      </c>
      <c r="W276" s="18">
        <f t="shared" si="23"/>
        <v>16.49</v>
      </c>
      <c r="X276" s="18">
        <f t="shared" si="24"/>
        <v>1050.4</v>
      </c>
      <c r="Y276" s="18"/>
      <c r="Z276" s="18"/>
    </row>
    <row r="277" ht="29.25" spans="1:31">
      <c r="A277">
        <v>2022</v>
      </c>
      <c r="B277" s="3">
        <v>46054</v>
      </c>
      <c r="C277" s="4" t="s">
        <v>1813</v>
      </c>
      <c r="D277" s="4" t="s">
        <v>1814</v>
      </c>
      <c r="E277" s="4" t="s">
        <v>1815</v>
      </c>
      <c r="F277" s="4" t="s">
        <v>1816</v>
      </c>
      <c r="G277" s="4" t="s">
        <v>1817</v>
      </c>
      <c r="H277" s="4" t="str">
        <f t="shared" si="20"/>
        <v>83.65</v>
      </c>
      <c r="I277" s="3">
        <v>46054</v>
      </c>
      <c r="J277" s="6">
        <v>495</v>
      </c>
      <c r="K277" s="4">
        <v>565.2</v>
      </c>
      <c r="L277" s="4" t="s">
        <v>1818</v>
      </c>
      <c r="M277" s="4" t="s">
        <v>278</v>
      </c>
      <c r="N277" s="4" t="s">
        <v>567</v>
      </c>
      <c r="O277" s="4">
        <v>419.28</v>
      </c>
      <c r="P277" s="4">
        <v>10.82</v>
      </c>
      <c r="Q277" s="4">
        <v>42.6</v>
      </c>
      <c r="R277" s="4">
        <v>3.38</v>
      </c>
      <c r="S277" s="4">
        <v>4.62</v>
      </c>
      <c r="T277">
        <f t="shared" si="21"/>
        <v>13.78</v>
      </c>
      <c r="U277" s="18">
        <v>73</v>
      </c>
      <c r="V277" s="18">
        <f t="shared" si="22"/>
        <v>156.65</v>
      </c>
      <c r="W277" s="18">
        <f t="shared" si="23"/>
        <v>15.83</v>
      </c>
      <c r="X277" s="18">
        <f t="shared" si="24"/>
        <v>1060.2</v>
      </c>
      <c r="Y277" s="18"/>
      <c r="Z277" s="18"/>
    </row>
    <row r="278" ht="29.25" spans="1:31">
      <c r="A278">
        <v>2022</v>
      </c>
      <c r="B278" s="3">
        <v>46082</v>
      </c>
      <c r="C278" s="4" t="s">
        <v>1819</v>
      </c>
      <c r="D278" s="4" t="s">
        <v>1820</v>
      </c>
      <c r="E278" s="4" t="s">
        <v>1821</v>
      </c>
      <c r="F278" s="4" t="s">
        <v>1822</v>
      </c>
      <c r="G278" s="4" t="s">
        <v>1823</v>
      </c>
      <c r="H278" s="4" t="str">
        <f t="shared" si="20"/>
        <v>81.20</v>
      </c>
      <c r="I278" s="3">
        <v>46082</v>
      </c>
      <c r="J278" s="6">
        <v>488</v>
      </c>
      <c r="K278" s="4">
        <v>542.8</v>
      </c>
      <c r="L278" s="4" t="s">
        <v>1824</v>
      </c>
      <c r="M278" s="4" t="s">
        <v>387</v>
      </c>
      <c r="N278" s="4" t="s">
        <v>1369</v>
      </c>
      <c r="O278" s="4">
        <v>418.81</v>
      </c>
      <c r="P278" s="4">
        <v>10.96</v>
      </c>
      <c r="Q278" s="6">
        <v>55.4</v>
      </c>
      <c r="R278" s="4">
        <v>3.75</v>
      </c>
      <c r="S278" s="4">
        <v>4.35</v>
      </c>
      <c r="T278">
        <f t="shared" si="21"/>
        <v>11.53</v>
      </c>
      <c r="U278" s="18">
        <v>75.2</v>
      </c>
      <c r="V278" s="18">
        <f t="shared" si="22"/>
        <v>156.4</v>
      </c>
      <c r="W278" s="18">
        <f t="shared" si="23"/>
        <v>13.36</v>
      </c>
      <c r="X278" s="18">
        <f t="shared" si="24"/>
        <v>1030.8</v>
      </c>
      <c r="Y278" s="18"/>
      <c r="Z278" s="18"/>
    </row>
    <row r="279" ht="41.25" spans="1:31">
      <c r="A279">
        <v>2022</v>
      </c>
      <c r="B279" s="3">
        <v>46113</v>
      </c>
      <c r="C279" s="4" t="s">
        <v>1825</v>
      </c>
      <c r="D279" s="6" t="s">
        <v>1826</v>
      </c>
      <c r="E279" s="6" t="s">
        <v>1827</v>
      </c>
      <c r="F279" s="4" t="s">
        <v>1828</v>
      </c>
      <c r="G279" s="4" t="s">
        <v>1829</v>
      </c>
      <c r="H279" s="4" t="str">
        <f t="shared" si="20"/>
        <v>78.45</v>
      </c>
      <c r="I279" s="3">
        <v>46113</v>
      </c>
      <c r="J279" s="6">
        <v>482</v>
      </c>
      <c r="K279" s="4">
        <v>518.7</v>
      </c>
      <c r="L279" s="4" t="s">
        <v>1830</v>
      </c>
      <c r="M279" s="4" t="s">
        <v>1831</v>
      </c>
      <c r="N279" s="4" t="s">
        <v>1280</v>
      </c>
      <c r="O279" s="6">
        <v>420.21</v>
      </c>
      <c r="P279" s="4">
        <v>11.15</v>
      </c>
      <c r="Q279" s="4">
        <v>52.8</v>
      </c>
      <c r="R279" s="4">
        <v>4.52</v>
      </c>
      <c r="S279" s="4">
        <v>3.52</v>
      </c>
      <c r="T279">
        <f t="shared" si="21"/>
        <v>2.18000000000001</v>
      </c>
      <c r="U279" s="18">
        <v>84.5</v>
      </c>
      <c r="V279" s="18">
        <f t="shared" si="22"/>
        <v>162.95</v>
      </c>
      <c r="W279" s="18">
        <f t="shared" si="23"/>
        <v>10.6</v>
      </c>
      <c r="X279" s="18">
        <f t="shared" si="24"/>
        <v>1000.7</v>
      </c>
      <c r="Y279" s="18"/>
      <c r="Z279" s="18"/>
    </row>
    <row r="280" ht="29.25" spans="1:31">
      <c r="A280">
        <v>2022</v>
      </c>
      <c r="B280" s="3">
        <v>46143</v>
      </c>
      <c r="C280" s="4" t="s">
        <v>1832</v>
      </c>
      <c r="D280" s="4" t="s">
        <v>1833</v>
      </c>
      <c r="E280" s="4" t="s">
        <v>1834</v>
      </c>
      <c r="F280" s="4" t="s">
        <v>1835</v>
      </c>
      <c r="G280" s="4" t="s">
        <v>1836</v>
      </c>
      <c r="H280" s="4" t="str">
        <f t="shared" si="20"/>
        <v>75.12</v>
      </c>
      <c r="I280" s="3">
        <v>46143</v>
      </c>
      <c r="J280" s="6">
        <v>468</v>
      </c>
      <c r="K280" s="4">
        <v>492.5</v>
      </c>
      <c r="L280" s="4" t="s">
        <v>1837</v>
      </c>
      <c r="M280" s="4" t="s">
        <v>991</v>
      </c>
      <c r="N280" s="4" t="s">
        <v>1265</v>
      </c>
      <c r="O280" s="6">
        <v>421.33</v>
      </c>
      <c r="P280" s="4">
        <v>11.38</v>
      </c>
      <c r="Q280" s="4">
        <v>49.2</v>
      </c>
      <c r="R280" s="4">
        <v>5.35</v>
      </c>
      <c r="S280" s="4">
        <v>2.65</v>
      </c>
      <c r="T280">
        <f t="shared" si="21"/>
        <v>7.42999999999999</v>
      </c>
      <c r="U280" s="18">
        <v>79.2</v>
      </c>
      <c r="V280" s="18">
        <f t="shared" si="22"/>
        <v>154.32</v>
      </c>
      <c r="W280" s="18">
        <f t="shared" si="23"/>
        <v>7.26000000000001</v>
      </c>
      <c r="X280" s="18">
        <f t="shared" si="24"/>
        <v>960.5</v>
      </c>
      <c r="Y280" s="18"/>
      <c r="Z280" s="18"/>
    </row>
    <row r="281" ht="41.25" spans="1:31">
      <c r="A281">
        <v>2022</v>
      </c>
      <c r="B281" s="3">
        <v>46174</v>
      </c>
      <c r="C281" s="4" t="s">
        <v>1838</v>
      </c>
      <c r="D281" s="4" t="s">
        <v>1839</v>
      </c>
      <c r="E281" s="4" t="s">
        <v>1840</v>
      </c>
      <c r="F281" s="4" t="s">
        <v>1841</v>
      </c>
      <c r="G281" s="4" t="s">
        <v>1842</v>
      </c>
      <c r="H281" s="4" t="str">
        <f t="shared" si="20"/>
        <v>72.45</v>
      </c>
      <c r="I281" s="3">
        <v>46174</v>
      </c>
      <c r="J281" s="6">
        <v>455</v>
      </c>
      <c r="K281" s="4">
        <v>472.4</v>
      </c>
      <c r="L281" s="6" t="s">
        <v>1843</v>
      </c>
      <c r="M281" s="4" t="s">
        <v>970</v>
      </c>
      <c r="N281" s="4" t="s">
        <v>1273</v>
      </c>
      <c r="O281" s="4">
        <v>420.99</v>
      </c>
      <c r="P281" s="4">
        <v>11.62</v>
      </c>
      <c r="Q281" s="4">
        <v>45.5</v>
      </c>
      <c r="R281" s="4">
        <v>6.12</v>
      </c>
      <c r="S281" s="4">
        <v>1.88</v>
      </c>
      <c r="T281">
        <f t="shared" si="21"/>
        <v>5.08</v>
      </c>
      <c r="U281" s="18">
        <v>81.5</v>
      </c>
      <c r="V281" s="18">
        <f t="shared" si="22"/>
        <v>153.95</v>
      </c>
      <c r="W281" s="18">
        <f t="shared" si="23"/>
        <v>4.58</v>
      </c>
      <c r="X281" s="18">
        <f t="shared" si="24"/>
        <v>927.4</v>
      </c>
      <c r="Y281" s="18"/>
      <c r="Z281" s="18"/>
    </row>
    <row r="282" ht="30" spans="1:31">
      <c r="A282">
        <v>2022</v>
      </c>
      <c r="B282" s="3">
        <v>46204</v>
      </c>
      <c r="C282" s="4" t="s">
        <v>1844</v>
      </c>
      <c r="D282" s="6" t="s">
        <v>1845</v>
      </c>
      <c r="E282" s="6" t="s">
        <v>1846</v>
      </c>
      <c r="F282" s="4" t="s">
        <v>1847</v>
      </c>
      <c r="G282" s="6" t="s">
        <v>1848</v>
      </c>
      <c r="H282" s="4" t="str">
        <f t="shared" si="20"/>
        <v>70.65</v>
      </c>
      <c r="I282" s="3">
        <v>46204</v>
      </c>
      <c r="J282" s="6">
        <v>448</v>
      </c>
      <c r="K282" s="6">
        <v>456.2</v>
      </c>
      <c r="L282" s="6" t="s">
        <v>1849</v>
      </c>
      <c r="M282" s="4" t="s">
        <v>250</v>
      </c>
      <c r="N282" s="4" t="s">
        <v>1179</v>
      </c>
      <c r="O282" s="4">
        <v>418.9</v>
      </c>
      <c r="P282" s="6">
        <v>11.82</v>
      </c>
      <c r="Q282" s="4">
        <v>43.8</v>
      </c>
      <c r="R282" s="6">
        <v>6.85</v>
      </c>
      <c r="S282" s="6">
        <v>1.52</v>
      </c>
      <c r="T282">
        <f t="shared" si="21"/>
        <v>0.329999999999998</v>
      </c>
      <c r="U282" s="18">
        <v>86.2</v>
      </c>
      <c r="V282" s="18">
        <f t="shared" si="22"/>
        <v>156.85</v>
      </c>
      <c r="W282" s="18">
        <f t="shared" si="23"/>
        <v>2.76</v>
      </c>
      <c r="X282" s="18">
        <f t="shared" si="24"/>
        <v>904.2</v>
      </c>
      <c r="Y282" s="18"/>
      <c r="Z282" s="18"/>
    </row>
    <row r="283" ht="29.25" spans="1:31">
      <c r="A283">
        <v>2022</v>
      </c>
      <c r="B283" s="3">
        <v>46235</v>
      </c>
      <c r="C283" s="4" t="s">
        <v>1850</v>
      </c>
      <c r="D283" s="4" t="s">
        <v>1851</v>
      </c>
      <c r="E283" s="4" t="s">
        <v>1852</v>
      </c>
      <c r="F283" s="4" t="s">
        <v>1853</v>
      </c>
      <c r="G283" s="4" t="s">
        <v>1854</v>
      </c>
      <c r="H283" s="4" t="str">
        <f t="shared" si="20"/>
        <v>73.15</v>
      </c>
      <c r="I283" s="3">
        <v>46235</v>
      </c>
      <c r="J283" s="6">
        <v>452</v>
      </c>
      <c r="K283" s="4">
        <v>468.8</v>
      </c>
      <c r="L283" s="4" t="s">
        <v>1855</v>
      </c>
      <c r="M283" s="4" t="s">
        <v>1117</v>
      </c>
      <c r="N283" s="4" t="s">
        <v>1249</v>
      </c>
      <c r="O283" s="4">
        <v>417.19</v>
      </c>
      <c r="P283" s="6">
        <v>11.91</v>
      </c>
      <c r="Q283" s="4">
        <v>48.2</v>
      </c>
      <c r="R283" s="4">
        <v>6.05</v>
      </c>
      <c r="S283" s="4">
        <v>1.72</v>
      </c>
      <c r="T283">
        <f t="shared" si="21"/>
        <v>3.68000000000001</v>
      </c>
      <c r="U283" s="18">
        <v>82.8</v>
      </c>
      <c r="V283" s="18">
        <f t="shared" si="22"/>
        <v>155.95</v>
      </c>
      <c r="W283" s="18">
        <f t="shared" si="23"/>
        <v>5.25</v>
      </c>
      <c r="X283" s="18">
        <f t="shared" si="24"/>
        <v>920.8</v>
      </c>
      <c r="Y283" s="18"/>
      <c r="Z283" s="18"/>
    </row>
    <row r="284" ht="29.25" spans="1:31">
      <c r="A284">
        <v>2022</v>
      </c>
      <c r="B284" s="3">
        <v>46266</v>
      </c>
      <c r="C284" s="4" t="s">
        <v>1856</v>
      </c>
      <c r="D284" s="4" t="s">
        <v>1857</v>
      </c>
      <c r="E284" s="4" t="s">
        <v>1127</v>
      </c>
      <c r="F284" s="4" t="s">
        <v>1858</v>
      </c>
      <c r="G284" s="4" t="s">
        <v>1859</v>
      </c>
      <c r="H284" s="4" t="str">
        <f t="shared" si="20"/>
        <v>76.80</v>
      </c>
      <c r="I284" s="3">
        <v>46266</v>
      </c>
      <c r="J284" s="6">
        <v>465</v>
      </c>
      <c r="K284" s="4">
        <v>495.2</v>
      </c>
      <c r="L284" s="4" t="s">
        <v>1860</v>
      </c>
      <c r="M284" s="4" t="s">
        <v>1124</v>
      </c>
      <c r="N284" s="4" t="s">
        <v>1384</v>
      </c>
      <c r="O284" s="6">
        <v>415.95</v>
      </c>
      <c r="P284" s="4">
        <v>11.58</v>
      </c>
      <c r="Q284" s="4">
        <v>56.5</v>
      </c>
      <c r="R284" s="4">
        <v>5.08</v>
      </c>
      <c r="S284" s="4">
        <v>2.85</v>
      </c>
      <c r="T284">
        <f t="shared" si="21"/>
        <v>6.43000000000001</v>
      </c>
      <c r="U284" s="18">
        <v>80</v>
      </c>
      <c r="V284" s="18">
        <f t="shared" si="22"/>
        <v>156.8</v>
      </c>
      <c r="W284" s="18">
        <f t="shared" si="23"/>
        <v>8.89</v>
      </c>
      <c r="X284" s="18">
        <f t="shared" si="24"/>
        <v>960.2</v>
      </c>
      <c r="Y284" s="18"/>
      <c r="Z284" s="18"/>
    </row>
    <row r="285" ht="41.25" spans="1:31">
      <c r="A285">
        <v>2022</v>
      </c>
      <c r="B285" s="3">
        <v>46296</v>
      </c>
      <c r="C285" s="4" t="s">
        <v>1861</v>
      </c>
      <c r="D285" s="4" t="s">
        <v>1862</v>
      </c>
      <c r="E285" s="4" t="s">
        <v>1863</v>
      </c>
      <c r="F285" s="4" t="s">
        <v>1864</v>
      </c>
      <c r="G285" s="4" t="s">
        <v>1865</v>
      </c>
      <c r="H285" s="4" t="str">
        <f t="shared" si="20"/>
        <v>81.45</v>
      </c>
      <c r="I285" s="3">
        <v>46296</v>
      </c>
      <c r="J285" s="6">
        <v>480</v>
      </c>
      <c r="K285" s="4">
        <v>528.6</v>
      </c>
      <c r="L285" s="4" t="s">
        <v>1866</v>
      </c>
      <c r="M285" s="4" t="s">
        <v>257</v>
      </c>
      <c r="N285" s="4" t="s">
        <v>1608</v>
      </c>
      <c r="O285" s="4">
        <v>415.78</v>
      </c>
      <c r="P285" s="4">
        <v>11.25</v>
      </c>
      <c r="Q285" s="6">
        <v>72.4</v>
      </c>
      <c r="R285" s="4">
        <v>4.32</v>
      </c>
      <c r="S285" s="4">
        <v>4.15</v>
      </c>
      <c r="T285">
        <f t="shared" si="21"/>
        <v>8.58</v>
      </c>
      <c r="U285" s="18">
        <v>77.8</v>
      </c>
      <c r="V285" s="18">
        <f t="shared" si="22"/>
        <v>159.25</v>
      </c>
      <c r="W285" s="18">
        <f t="shared" si="23"/>
        <v>13.52</v>
      </c>
      <c r="X285" s="18">
        <f t="shared" si="24"/>
        <v>1008.6</v>
      </c>
      <c r="Y285" s="18"/>
      <c r="Z285" s="18"/>
    </row>
    <row r="286" ht="30" spans="1:31">
      <c r="A286">
        <v>2022</v>
      </c>
      <c r="B286" s="3">
        <v>46327</v>
      </c>
      <c r="C286" s="4" t="s">
        <v>1867</v>
      </c>
      <c r="D286" s="6" t="s">
        <v>1868</v>
      </c>
      <c r="E286" s="6" t="s">
        <v>1869</v>
      </c>
      <c r="F286" s="4" t="s">
        <v>1870</v>
      </c>
      <c r="G286" s="6" t="s">
        <v>1871</v>
      </c>
      <c r="H286" s="4" t="str">
        <f t="shared" si="20"/>
        <v>85.90</v>
      </c>
      <c r="I286" s="3">
        <v>46327</v>
      </c>
      <c r="J286" s="6">
        <v>495</v>
      </c>
      <c r="K286" s="4">
        <v>568.4</v>
      </c>
      <c r="L286" s="4" t="s">
        <v>1872</v>
      </c>
      <c r="M286" s="4" t="s">
        <v>1873</v>
      </c>
      <c r="N286" s="4" t="s">
        <v>1586</v>
      </c>
      <c r="O286" s="4">
        <v>417.51</v>
      </c>
      <c r="P286" s="4">
        <v>11.08</v>
      </c>
      <c r="Q286" s="6">
        <v>78.6</v>
      </c>
      <c r="R286" s="4">
        <v>3.82</v>
      </c>
      <c r="S286" s="4">
        <v>4.88</v>
      </c>
      <c r="T286">
        <f t="shared" si="21"/>
        <v>2.83</v>
      </c>
      <c r="U286" s="18">
        <v>83.5</v>
      </c>
      <c r="V286" s="18">
        <f t="shared" si="22"/>
        <v>169.4</v>
      </c>
      <c r="W286" s="18">
        <f t="shared" si="23"/>
        <v>17.96</v>
      </c>
      <c r="X286" s="18">
        <f t="shared" si="24"/>
        <v>1063.4</v>
      </c>
      <c r="Y286" s="18"/>
      <c r="Z286" s="18"/>
    </row>
    <row r="287" ht="44.25" spans="1:31">
      <c r="A287">
        <v>2022</v>
      </c>
      <c r="B287" s="3">
        <v>46357</v>
      </c>
      <c r="C287" s="4" t="s">
        <v>1874</v>
      </c>
      <c r="D287" s="4" t="s">
        <v>1875</v>
      </c>
      <c r="E287" s="4" t="s">
        <v>1876</v>
      </c>
      <c r="F287" s="4" t="s">
        <v>1877</v>
      </c>
      <c r="G287" s="6" t="s">
        <v>1878</v>
      </c>
      <c r="H287" s="4" t="str">
        <f t="shared" si="20"/>
        <v>88.15</v>
      </c>
      <c r="I287" s="3">
        <v>46357</v>
      </c>
      <c r="J287" s="6">
        <v>502</v>
      </c>
      <c r="K287" s="6">
        <v>595.7</v>
      </c>
      <c r="L287" s="6" t="s">
        <v>1879</v>
      </c>
      <c r="M287" s="6" t="s">
        <v>932</v>
      </c>
      <c r="N287" s="6" t="s">
        <v>1287</v>
      </c>
      <c r="O287" s="4">
        <v>418.95</v>
      </c>
      <c r="P287" s="4">
        <v>10.95</v>
      </c>
      <c r="Q287" s="4">
        <v>64.2</v>
      </c>
      <c r="R287" s="4">
        <v>3.55</v>
      </c>
      <c r="S287" s="4">
        <v>5.12</v>
      </c>
      <c r="T287">
        <f t="shared" si="21"/>
        <v>11.48</v>
      </c>
      <c r="U287" s="18">
        <v>74.8</v>
      </c>
      <c r="V287" s="18">
        <f t="shared" si="22"/>
        <v>162.95</v>
      </c>
      <c r="W287" s="18">
        <f t="shared" si="23"/>
        <v>20.2</v>
      </c>
      <c r="X287" s="18">
        <f t="shared" si="24"/>
        <v>1097.7</v>
      </c>
      <c r="Y287" s="18">
        <f>AVERAGE(X276:X287)</f>
        <v>998.741666666667</v>
      </c>
      <c r="Z287" s="18">
        <f>AVERAGE(W276:W278)</f>
        <v>15.2266666666667</v>
      </c>
      <c r="AA287">
        <f>(SUM(U276:U287)-SUM(U282:U284))/9</f>
        <v>77.9666666666666</v>
      </c>
      <c r="AB287">
        <f>AVERAGE(T276:T287)</f>
        <v>7.33</v>
      </c>
      <c r="AC287">
        <f>(SUM(T276:T287)-T279-T282-T286)/9</f>
        <v>9.18</v>
      </c>
      <c r="AD287">
        <f>AVERAGE(T276:T278)</f>
        <v>13.3133333333333</v>
      </c>
      <c r="AE287">
        <f>AVERAGE(V276:V287)</f>
        <v>158.4975</v>
      </c>
    </row>
    <row r="288" ht="60.75" spans="1:31">
      <c r="B288" s="6" t="s">
        <v>1880</v>
      </c>
      <c r="C288" s="6" t="s">
        <v>396</v>
      </c>
      <c r="D288" s="6" t="s">
        <v>8</v>
      </c>
      <c r="E288" s="6" t="s">
        <v>124</v>
      </c>
      <c r="F288" s="6" t="s">
        <v>10</v>
      </c>
      <c r="G288" s="6" t="s">
        <v>125</v>
      </c>
      <c r="H288" s="4" t="str">
        <f t="shared" si="20"/>
        <v>650 氢</v>
      </c>
      <c r="I288" s="6" t="s">
        <v>1880</v>
      </c>
      <c r="J288" s="6" t="s">
        <v>126</v>
      </c>
      <c r="K288" s="6" t="s">
        <v>126</v>
      </c>
      <c r="L288" s="6" t="s">
        <v>127</v>
      </c>
      <c r="M288" s="6" t="s">
        <v>15</v>
      </c>
      <c r="N288" s="6" t="s">
        <v>16</v>
      </c>
      <c r="O288" s="6" t="s">
        <v>17</v>
      </c>
      <c r="P288" s="6" t="s">
        <v>18</v>
      </c>
      <c r="Q288" s="6" t="s">
        <v>19</v>
      </c>
      <c r="R288" s="6" t="s">
        <v>128</v>
      </c>
      <c r="S288" s="6" t="s">
        <v>21</v>
      </c>
      <c r="T288" t="e">
        <f t="shared" si="21"/>
        <v>#VALUE!</v>
      </c>
      <c r="U288" s="19" t="s">
        <v>129</v>
      </c>
      <c r="V288" s="18" t="e">
        <f t="shared" si="22"/>
        <v>#VALUE!</v>
      </c>
      <c r="W288" s="18" t="e">
        <f t="shared" si="23"/>
        <v>#VALUE!</v>
      </c>
      <c r="X288" s="18">
        <f t="shared" si="24"/>
        <v>0</v>
      </c>
      <c r="Y288" s="18"/>
      <c r="Z288" s="18"/>
    </row>
    <row r="289" ht="30" spans="1:31">
      <c r="A289">
        <v>2023</v>
      </c>
      <c r="B289" s="3">
        <v>46023</v>
      </c>
      <c r="C289" s="4" t="s">
        <v>1881</v>
      </c>
      <c r="D289" s="4" t="s">
        <v>1882</v>
      </c>
      <c r="E289" s="4" t="s">
        <v>1883</v>
      </c>
      <c r="F289" s="4" t="s">
        <v>1884</v>
      </c>
      <c r="G289" s="6" t="s">
        <v>1885</v>
      </c>
      <c r="H289" s="4" t="str">
        <f t="shared" si="20"/>
        <v>87.45</v>
      </c>
      <c r="I289" s="3">
        <v>46023</v>
      </c>
      <c r="J289" s="6">
        <v>508</v>
      </c>
      <c r="K289" s="6">
        <v>612.4</v>
      </c>
      <c r="L289" s="6" t="s">
        <v>1886</v>
      </c>
      <c r="M289" s="6" t="s">
        <v>1887</v>
      </c>
      <c r="N289" s="6" t="s">
        <v>1770</v>
      </c>
      <c r="O289" s="4">
        <v>419.47</v>
      </c>
      <c r="P289" s="4">
        <v>10.88</v>
      </c>
      <c r="Q289" s="4">
        <v>46.2</v>
      </c>
      <c r="R289" s="4">
        <v>3.35</v>
      </c>
      <c r="S289" s="4">
        <v>4.85</v>
      </c>
      <c r="T289">
        <f t="shared" si="21"/>
        <v>13.73</v>
      </c>
      <c r="U289" s="18">
        <v>72.5</v>
      </c>
      <c r="V289" s="18">
        <f t="shared" si="22"/>
        <v>159.95</v>
      </c>
      <c r="W289" s="18">
        <f t="shared" si="23"/>
        <v>19.49</v>
      </c>
      <c r="X289" s="18">
        <f t="shared" si="24"/>
        <v>1120.4</v>
      </c>
      <c r="Y289" s="18"/>
      <c r="Z289" s="18"/>
    </row>
    <row r="290" ht="29.25" spans="1:31">
      <c r="A290">
        <v>2023</v>
      </c>
      <c r="B290" s="3">
        <v>46054</v>
      </c>
      <c r="C290" s="4" t="s">
        <v>1888</v>
      </c>
      <c r="D290" s="4" t="s">
        <v>1889</v>
      </c>
      <c r="E290" s="4" t="s">
        <v>1890</v>
      </c>
      <c r="F290" s="4" t="s">
        <v>1891</v>
      </c>
      <c r="G290" s="4" t="s">
        <v>1892</v>
      </c>
      <c r="H290" s="4" t="str">
        <f t="shared" si="20"/>
        <v>86.80</v>
      </c>
      <c r="I290" s="3">
        <v>46054</v>
      </c>
      <c r="J290" s="6">
        <v>512</v>
      </c>
      <c r="K290" s="4">
        <v>605.8</v>
      </c>
      <c r="L290" s="4" t="s">
        <v>1893</v>
      </c>
      <c r="M290" s="4" t="s">
        <v>257</v>
      </c>
      <c r="N290" s="4" t="s">
        <v>1265</v>
      </c>
      <c r="O290" s="4">
        <v>420.41</v>
      </c>
      <c r="P290" s="4">
        <v>10.95</v>
      </c>
      <c r="Q290" s="4">
        <v>58.4</v>
      </c>
      <c r="R290" s="4">
        <v>3.52</v>
      </c>
      <c r="S290" s="4">
        <v>5.12</v>
      </c>
      <c r="T290">
        <f t="shared" si="21"/>
        <v>12.98</v>
      </c>
      <c r="U290" s="18">
        <v>73.2</v>
      </c>
      <c r="V290" s="18">
        <f t="shared" si="22"/>
        <v>160</v>
      </c>
      <c r="W290" s="18">
        <f t="shared" si="23"/>
        <v>18.83</v>
      </c>
      <c r="X290" s="18">
        <f t="shared" si="24"/>
        <v>1117.8</v>
      </c>
      <c r="Y290" s="18"/>
      <c r="Z290" s="18"/>
    </row>
    <row r="291" ht="29.25" spans="1:31">
      <c r="A291">
        <v>2023</v>
      </c>
      <c r="B291" s="3">
        <v>46082</v>
      </c>
      <c r="C291" s="4" t="s">
        <v>1894</v>
      </c>
      <c r="D291" s="6" t="s">
        <v>1895</v>
      </c>
      <c r="E291" s="6" t="s">
        <v>1896</v>
      </c>
      <c r="F291" s="4" t="s">
        <v>1897</v>
      </c>
      <c r="G291" s="4" t="s">
        <v>1898</v>
      </c>
      <c r="H291" s="4" t="str">
        <f t="shared" si="20"/>
        <v>84.12</v>
      </c>
      <c r="I291" s="3">
        <v>46082</v>
      </c>
      <c r="J291" s="6">
        <v>505</v>
      </c>
      <c r="K291" s="4">
        <v>582.3</v>
      </c>
      <c r="L291" s="4" t="s">
        <v>1899</v>
      </c>
      <c r="M291" s="4" t="s">
        <v>991</v>
      </c>
      <c r="N291" s="4" t="s">
        <v>1717</v>
      </c>
      <c r="O291" s="4">
        <v>421.13</v>
      </c>
      <c r="P291" s="4">
        <v>11.12</v>
      </c>
      <c r="Q291" s="6">
        <v>74.5</v>
      </c>
      <c r="R291" s="4">
        <v>3.95</v>
      </c>
      <c r="S291" s="4">
        <v>4.65</v>
      </c>
      <c r="T291">
        <f t="shared" si="21"/>
        <v>0.329999999999998</v>
      </c>
      <c r="U291" s="18">
        <v>85.8</v>
      </c>
      <c r="V291" s="18">
        <f t="shared" si="22"/>
        <v>169.92</v>
      </c>
      <c r="W291" s="18">
        <f t="shared" si="23"/>
        <v>16.13</v>
      </c>
      <c r="X291" s="18">
        <f t="shared" si="24"/>
        <v>1087.3</v>
      </c>
      <c r="Y291" s="18"/>
      <c r="Z291" s="18"/>
    </row>
    <row r="292" ht="29.25" spans="1:31">
      <c r="A292">
        <v>2023</v>
      </c>
      <c r="B292" s="3">
        <v>46113</v>
      </c>
      <c r="C292" s="4" t="s">
        <v>1900</v>
      </c>
      <c r="D292" s="6" t="s">
        <v>1901</v>
      </c>
      <c r="E292" s="6" t="s">
        <v>1902</v>
      </c>
      <c r="F292" s="4" t="s">
        <v>1903</v>
      </c>
      <c r="G292" s="4" t="s">
        <v>1904</v>
      </c>
      <c r="H292" s="4" t="str">
        <f t="shared" si="20"/>
        <v>81.30</v>
      </c>
      <c r="I292" s="3">
        <v>46113</v>
      </c>
      <c r="J292" s="6">
        <v>498</v>
      </c>
      <c r="K292" s="4">
        <v>558.7</v>
      </c>
      <c r="L292" s="4" t="s">
        <v>1905</v>
      </c>
      <c r="M292" s="4" t="s">
        <v>1906</v>
      </c>
      <c r="N292" s="4" t="s">
        <v>1623</v>
      </c>
      <c r="O292" s="4">
        <v>422.73</v>
      </c>
      <c r="P292" s="4">
        <v>11.35</v>
      </c>
      <c r="Q292" s="4">
        <v>72.1</v>
      </c>
      <c r="R292" s="4">
        <v>4.75</v>
      </c>
      <c r="S292" s="4">
        <v>3.92</v>
      </c>
      <c r="T292">
        <f t="shared" si="21"/>
        <v>-0.420000000000002</v>
      </c>
      <c r="U292" s="18">
        <v>86.5</v>
      </c>
      <c r="V292" s="18">
        <f t="shared" si="22"/>
        <v>167.8</v>
      </c>
      <c r="W292" s="18">
        <f t="shared" si="23"/>
        <v>13.3</v>
      </c>
      <c r="X292" s="18">
        <f t="shared" si="24"/>
        <v>1056.7</v>
      </c>
      <c r="Y292" s="18"/>
      <c r="Z292" s="18"/>
    </row>
    <row r="293" ht="29.25" spans="1:31">
      <c r="A293">
        <v>2023</v>
      </c>
      <c r="B293" s="3">
        <v>46143</v>
      </c>
      <c r="C293" s="4" t="s">
        <v>1907</v>
      </c>
      <c r="D293" s="4" t="s">
        <v>1908</v>
      </c>
      <c r="E293" s="4" t="s">
        <v>1909</v>
      </c>
      <c r="F293" s="4" t="s">
        <v>1910</v>
      </c>
      <c r="G293" s="4" t="s">
        <v>1911</v>
      </c>
      <c r="H293" s="4" t="str">
        <f t="shared" si="20"/>
        <v>78.45</v>
      </c>
      <c r="I293" s="3">
        <v>46143</v>
      </c>
      <c r="J293" s="6">
        <v>485</v>
      </c>
      <c r="K293" s="4">
        <v>532.4</v>
      </c>
      <c r="L293" s="4" t="s">
        <v>1912</v>
      </c>
      <c r="M293" s="6" t="s">
        <v>219</v>
      </c>
      <c r="N293" s="4" t="s">
        <v>1369</v>
      </c>
      <c r="O293" s="6">
        <v>424</v>
      </c>
      <c r="P293" s="4">
        <v>11.62</v>
      </c>
      <c r="Q293" s="4">
        <v>68.4</v>
      </c>
      <c r="R293" s="4">
        <v>5.62</v>
      </c>
      <c r="S293" s="4">
        <v>3.15</v>
      </c>
      <c r="T293">
        <f t="shared" si="21"/>
        <v>6.53</v>
      </c>
      <c r="U293" s="18">
        <v>79.5</v>
      </c>
      <c r="V293" s="18">
        <f t="shared" si="22"/>
        <v>157.95</v>
      </c>
      <c r="W293" s="18">
        <f t="shared" si="23"/>
        <v>10.44</v>
      </c>
      <c r="X293" s="18">
        <f t="shared" si="24"/>
        <v>1017.4</v>
      </c>
      <c r="Y293" s="18"/>
      <c r="Z293" s="18"/>
    </row>
    <row r="294" ht="29.25" spans="1:31">
      <c r="A294">
        <v>2023</v>
      </c>
      <c r="B294" s="3">
        <v>46174</v>
      </c>
      <c r="C294" s="4" t="s">
        <v>1913</v>
      </c>
      <c r="D294" s="4" t="s">
        <v>1914</v>
      </c>
      <c r="E294" s="6" t="s">
        <v>1915</v>
      </c>
      <c r="F294" s="4" t="s">
        <v>1916</v>
      </c>
      <c r="G294" s="4" t="s">
        <v>1917</v>
      </c>
      <c r="H294" s="4" t="str">
        <f t="shared" si="20"/>
        <v>76.10</v>
      </c>
      <c r="I294" s="3">
        <v>46174</v>
      </c>
      <c r="J294" s="6">
        <v>472</v>
      </c>
      <c r="K294" s="4">
        <v>508.6</v>
      </c>
      <c r="L294" s="6" t="s">
        <v>1918</v>
      </c>
      <c r="M294" s="4" t="s">
        <v>271</v>
      </c>
      <c r="N294" s="6" t="s">
        <v>1919</v>
      </c>
      <c r="O294" s="4">
        <v>423.68</v>
      </c>
      <c r="P294" s="6">
        <v>11.88</v>
      </c>
      <c r="Q294" s="4">
        <v>55.2</v>
      </c>
      <c r="R294" s="4">
        <v>6.55</v>
      </c>
      <c r="S294" s="4">
        <v>2.38</v>
      </c>
      <c r="T294">
        <f t="shared" si="21"/>
        <v>4.18000000000001</v>
      </c>
      <c r="U294" s="18">
        <v>81.8</v>
      </c>
      <c r="V294" s="18">
        <f t="shared" si="22"/>
        <v>157.9</v>
      </c>
      <c r="W294" s="18">
        <f t="shared" si="23"/>
        <v>8.08</v>
      </c>
      <c r="X294" s="18">
        <f t="shared" si="24"/>
        <v>980.6</v>
      </c>
      <c r="Y294" s="18"/>
      <c r="Z294" s="18"/>
    </row>
    <row r="295" ht="42" spans="1:31">
      <c r="A295">
        <v>2023</v>
      </c>
      <c r="B295" s="3">
        <v>46204</v>
      </c>
      <c r="C295" s="4" t="s">
        <v>1920</v>
      </c>
      <c r="D295" s="4" t="s">
        <v>1921</v>
      </c>
      <c r="E295" s="4" t="s">
        <v>1922</v>
      </c>
      <c r="F295" s="4" t="s">
        <v>1923</v>
      </c>
      <c r="G295" s="6" t="s">
        <v>1924</v>
      </c>
      <c r="H295" s="4" t="str">
        <f t="shared" si="20"/>
        <v>74.15</v>
      </c>
      <c r="I295" s="3">
        <v>46204</v>
      </c>
      <c r="J295" s="6">
        <v>465</v>
      </c>
      <c r="K295" s="6">
        <v>492.5</v>
      </c>
      <c r="L295" s="6" t="s">
        <v>1925</v>
      </c>
      <c r="M295" s="4" t="s">
        <v>1926</v>
      </c>
      <c r="N295" s="6" t="s">
        <v>1927</v>
      </c>
      <c r="O295" s="4">
        <v>421.83</v>
      </c>
      <c r="P295" s="6">
        <v>12.15</v>
      </c>
      <c r="Q295" s="4">
        <v>52.8</v>
      </c>
      <c r="R295" s="6">
        <v>7.15</v>
      </c>
      <c r="S295" s="6">
        <v>1.95</v>
      </c>
      <c r="T295">
        <f t="shared" si="21"/>
        <v>2.13000000000001</v>
      </c>
      <c r="U295" s="18">
        <v>83.8</v>
      </c>
      <c r="V295" s="18">
        <f t="shared" si="22"/>
        <v>157.95</v>
      </c>
      <c r="W295" s="18">
        <f t="shared" si="23"/>
        <v>6.12</v>
      </c>
      <c r="X295" s="18">
        <f t="shared" si="24"/>
        <v>957.5</v>
      </c>
      <c r="Y295" s="18"/>
      <c r="Z295" s="18"/>
    </row>
    <row r="296" ht="29.25" spans="1:31">
      <c r="A296">
        <v>2023</v>
      </c>
      <c r="B296" s="3">
        <v>46235</v>
      </c>
      <c r="C296" s="4" t="s">
        <v>1928</v>
      </c>
      <c r="D296" s="4" t="s">
        <v>1929</v>
      </c>
      <c r="E296" s="4" t="s">
        <v>1930</v>
      </c>
      <c r="F296" s="4" t="s">
        <v>1931</v>
      </c>
      <c r="G296" s="4" t="s">
        <v>1932</v>
      </c>
      <c r="H296" s="4" t="str">
        <f t="shared" si="20"/>
        <v>76.80</v>
      </c>
      <c r="I296" s="3">
        <v>46235</v>
      </c>
      <c r="J296" s="6">
        <v>470</v>
      </c>
      <c r="K296" s="4">
        <v>505.2</v>
      </c>
      <c r="L296" s="4" t="s">
        <v>1933</v>
      </c>
      <c r="M296" s="4" t="s">
        <v>285</v>
      </c>
      <c r="N296" s="6" t="s">
        <v>1934</v>
      </c>
      <c r="O296" s="4">
        <v>419.68</v>
      </c>
      <c r="P296" s="6">
        <v>12.28</v>
      </c>
      <c r="Q296" s="4">
        <v>56.5</v>
      </c>
      <c r="R296" s="4">
        <v>6.32</v>
      </c>
      <c r="S296" s="4">
        <v>2.12</v>
      </c>
      <c r="T296">
        <f t="shared" si="21"/>
        <v>3.38</v>
      </c>
      <c r="U296" s="18">
        <v>82.5</v>
      </c>
      <c r="V296" s="18">
        <f t="shared" si="22"/>
        <v>159.3</v>
      </c>
      <c r="W296" s="18">
        <f t="shared" si="23"/>
        <v>8.75</v>
      </c>
      <c r="X296" s="18">
        <f t="shared" si="24"/>
        <v>975.2</v>
      </c>
      <c r="Y296" s="18"/>
      <c r="Z296" s="18"/>
    </row>
    <row r="297" ht="29.25" spans="1:31">
      <c r="A297">
        <v>2023</v>
      </c>
      <c r="B297" s="3">
        <v>46266</v>
      </c>
      <c r="C297" s="4" t="s">
        <v>1935</v>
      </c>
      <c r="D297" s="4" t="s">
        <v>1936</v>
      </c>
      <c r="E297" s="4" t="s">
        <v>1937</v>
      </c>
      <c r="F297" s="4" t="s">
        <v>1938</v>
      </c>
      <c r="G297" s="4" t="s">
        <v>1939</v>
      </c>
      <c r="H297" s="4" t="str">
        <f t="shared" si="20"/>
        <v>79.45</v>
      </c>
      <c r="I297" s="3">
        <v>46266</v>
      </c>
      <c r="J297" s="6">
        <v>485</v>
      </c>
      <c r="K297" s="4">
        <v>538.4</v>
      </c>
      <c r="L297" s="4" t="s">
        <v>1940</v>
      </c>
      <c r="M297" s="4" t="s">
        <v>1941</v>
      </c>
      <c r="N297" s="6" t="s">
        <v>1942</v>
      </c>
      <c r="O297" s="6">
        <v>418.51</v>
      </c>
      <c r="P297" s="4">
        <v>11.95</v>
      </c>
      <c r="Q297" s="4">
        <v>64.2</v>
      </c>
      <c r="R297" s="4">
        <v>5.25</v>
      </c>
      <c r="S297" s="4">
        <v>3.35</v>
      </c>
      <c r="T297">
        <f t="shared" si="21"/>
        <v>5.63</v>
      </c>
      <c r="U297" s="18">
        <v>80.2</v>
      </c>
      <c r="V297" s="18">
        <f t="shared" si="22"/>
        <v>159.65</v>
      </c>
      <c r="W297" s="18">
        <f t="shared" si="23"/>
        <v>11.39</v>
      </c>
      <c r="X297" s="18">
        <f t="shared" si="24"/>
        <v>1023.4</v>
      </c>
      <c r="Y297" s="18"/>
      <c r="Z297" s="18"/>
    </row>
    <row r="298" ht="41.25" spans="1:31">
      <c r="A298">
        <v>2023</v>
      </c>
      <c r="B298" s="3">
        <v>46296</v>
      </c>
      <c r="C298" s="4" t="s">
        <v>1943</v>
      </c>
      <c r="D298" s="4" t="s">
        <v>1944</v>
      </c>
      <c r="E298" s="4" t="s">
        <v>1945</v>
      </c>
      <c r="F298" s="4" t="s">
        <v>1946</v>
      </c>
      <c r="G298" s="4" t="s">
        <v>1947</v>
      </c>
      <c r="H298" s="4" t="str">
        <f t="shared" si="20"/>
        <v>83.12</v>
      </c>
      <c r="I298" s="3">
        <v>46296</v>
      </c>
      <c r="J298" s="6">
        <v>502</v>
      </c>
      <c r="K298" s="4">
        <v>572.6</v>
      </c>
      <c r="L298" s="4" t="s">
        <v>1948</v>
      </c>
      <c r="M298" s="4" t="s">
        <v>1064</v>
      </c>
      <c r="N298" s="4" t="s">
        <v>1331</v>
      </c>
      <c r="O298" s="4">
        <v>418.82</v>
      </c>
      <c r="P298" s="4">
        <v>11.62</v>
      </c>
      <c r="Q298" s="6">
        <v>85.6</v>
      </c>
      <c r="R298" s="4">
        <v>4.58</v>
      </c>
      <c r="S298" s="4">
        <v>4.45</v>
      </c>
      <c r="T298">
        <f t="shared" si="21"/>
        <v>7.58</v>
      </c>
      <c r="U298" s="18">
        <v>78.2</v>
      </c>
      <c r="V298" s="18">
        <f t="shared" si="22"/>
        <v>161.32</v>
      </c>
      <c r="W298" s="18">
        <f t="shared" si="23"/>
        <v>15.05</v>
      </c>
      <c r="X298" s="18">
        <f t="shared" si="24"/>
        <v>1074.6</v>
      </c>
      <c r="Y298" s="18"/>
      <c r="Z298" s="18"/>
    </row>
    <row r="299" ht="41.25" spans="1:31">
      <c r="A299">
        <v>2023</v>
      </c>
      <c r="B299" s="3">
        <v>46327</v>
      </c>
      <c r="C299" s="4" t="s">
        <v>1949</v>
      </c>
      <c r="D299" s="4" t="s">
        <v>1950</v>
      </c>
      <c r="E299" s="4" t="s">
        <v>1951</v>
      </c>
      <c r="F299" s="4" t="s">
        <v>1952</v>
      </c>
      <c r="G299" s="6" t="s">
        <v>1953</v>
      </c>
      <c r="H299" s="4" t="str">
        <f t="shared" si="20"/>
        <v>86.60</v>
      </c>
      <c r="I299" s="3">
        <v>46327</v>
      </c>
      <c r="J299" s="6">
        <v>515</v>
      </c>
      <c r="K299" s="4">
        <v>608.3</v>
      </c>
      <c r="L299" s="4" t="s">
        <v>1954</v>
      </c>
      <c r="M299" s="4" t="s">
        <v>431</v>
      </c>
      <c r="N299" s="4" t="s">
        <v>1955</v>
      </c>
      <c r="O299" s="4">
        <v>420.46</v>
      </c>
      <c r="P299" s="4">
        <v>11.35</v>
      </c>
      <c r="Q299" s="6">
        <v>92.4</v>
      </c>
      <c r="R299" s="4">
        <v>3.98</v>
      </c>
      <c r="S299" s="4">
        <v>5.25</v>
      </c>
      <c r="T299">
        <f t="shared" si="21"/>
        <v>9.23</v>
      </c>
      <c r="U299" s="18">
        <v>76.5</v>
      </c>
      <c r="V299" s="18">
        <f t="shared" si="22"/>
        <v>163.1</v>
      </c>
      <c r="W299" s="18">
        <f t="shared" si="23"/>
        <v>18.52</v>
      </c>
      <c r="X299" s="18">
        <f t="shared" si="24"/>
        <v>1123.3</v>
      </c>
      <c r="Y299" s="18"/>
      <c r="Z299" s="18"/>
    </row>
    <row r="300" ht="30.75" spans="1:31">
      <c r="A300">
        <v>2023</v>
      </c>
      <c r="B300" s="3">
        <v>46357</v>
      </c>
      <c r="C300" s="4" t="s">
        <v>1956</v>
      </c>
      <c r="D300" s="4" t="s">
        <v>1957</v>
      </c>
      <c r="E300" s="4" t="s">
        <v>1958</v>
      </c>
      <c r="F300" s="4" t="s">
        <v>1959</v>
      </c>
      <c r="G300" s="6" t="s">
        <v>1960</v>
      </c>
      <c r="H300" s="4" t="str">
        <f t="shared" si="20"/>
        <v>88.45</v>
      </c>
      <c r="I300" s="3">
        <v>46357</v>
      </c>
      <c r="J300" s="6">
        <v>525</v>
      </c>
      <c r="K300" s="6">
        <v>635.8</v>
      </c>
      <c r="L300" s="6" t="s">
        <v>1961</v>
      </c>
      <c r="M300" s="6" t="s">
        <v>925</v>
      </c>
      <c r="N300" s="6" t="s">
        <v>1346</v>
      </c>
      <c r="O300" s="4">
        <v>421.86</v>
      </c>
      <c r="P300" s="4">
        <v>11.18</v>
      </c>
      <c r="Q300" s="4">
        <v>76.5</v>
      </c>
      <c r="R300" s="4">
        <v>3.72</v>
      </c>
      <c r="S300" s="4">
        <v>5.58</v>
      </c>
      <c r="T300">
        <f t="shared" si="21"/>
        <v>10.48</v>
      </c>
      <c r="U300" s="18">
        <v>75.2</v>
      </c>
      <c r="V300" s="18">
        <f t="shared" si="22"/>
        <v>163.65</v>
      </c>
      <c r="W300" s="18">
        <f t="shared" si="23"/>
        <v>20.35</v>
      </c>
      <c r="X300" s="18">
        <f t="shared" si="24"/>
        <v>1160.8</v>
      </c>
      <c r="Y300" s="18">
        <f>AVERAGE(X289:X300)</f>
        <v>1057.91666666667</v>
      </c>
      <c r="Z300" s="18">
        <f>AVERAGE(W289:W291)</f>
        <v>18.15</v>
      </c>
      <c r="AB300">
        <f>AVERAGE(T289:T300)</f>
        <v>6.31333333333334</v>
      </c>
      <c r="AC300">
        <f>(SUM(T289:T300)-T291-T292)/10</f>
        <v>7.585</v>
      </c>
      <c r="AD300">
        <f>AVERAGE(T289:T290)</f>
        <v>13.355</v>
      </c>
      <c r="AE300">
        <f>AVERAGE(V289:V300)</f>
        <v>161.540833333333</v>
      </c>
    </row>
    <row r="301" ht="60.75" spans="1:31">
      <c r="B301" s="6" t="s">
        <v>1962</v>
      </c>
      <c r="C301" s="6" t="s">
        <v>396</v>
      </c>
      <c r="D301" s="6" t="s">
        <v>8</v>
      </c>
      <c r="E301" s="6" t="s">
        <v>124</v>
      </c>
      <c r="F301" s="6" t="s">
        <v>10</v>
      </c>
      <c r="G301" s="6" t="s">
        <v>125</v>
      </c>
      <c r="H301" s="4" t="str">
        <f t="shared" si="20"/>
        <v>650 氢</v>
      </c>
      <c r="I301" s="6" t="s">
        <v>1962</v>
      </c>
      <c r="J301" s="6" t="s">
        <v>126</v>
      </c>
      <c r="K301" s="6" t="s">
        <v>126</v>
      </c>
      <c r="L301" s="6" t="s">
        <v>127</v>
      </c>
      <c r="M301" s="6" t="s">
        <v>15</v>
      </c>
      <c r="N301" s="6" t="s">
        <v>16</v>
      </c>
      <c r="O301" s="6" t="s">
        <v>17</v>
      </c>
      <c r="P301" s="6" t="s">
        <v>18</v>
      </c>
      <c r="Q301" s="6" t="s">
        <v>19</v>
      </c>
      <c r="R301" s="6" t="s">
        <v>128</v>
      </c>
      <c r="S301" s="6" t="s">
        <v>21</v>
      </c>
      <c r="T301" t="e">
        <f t="shared" si="21"/>
        <v>#VALUE!</v>
      </c>
      <c r="U301" s="19" t="s">
        <v>129</v>
      </c>
      <c r="V301" s="18" t="e">
        <f t="shared" si="22"/>
        <v>#VALUE!</v>
      </c>
      <c r="W301" s="18" t="e">
        <f t="shared" si="23"/>
        <v>#VALUE!</v>
      </c>
      <c r="X301" s="18">
        <f t="shared" si="24"/>
        <v>0</v>
      </c>
      <c r="Y301" s="18"/>
      <c r="Z301" s="18"/>
    </row>
    <row r="302" ht="41.25" spans="1:31">
      <c r="A302">
        <v>2024</v>
      </c>
      <c r="B302" s="3">
        <v>46023</v>
      </c>
      <c r="C302" s="4" t="s">
        <v>1963</v>
      </c>
      <c r="D302" s="4" t="s">
        <v>1964</v>
      </c>
      <c r="E302" s="4" t="s">
        <v>1965</v>
      </c>
      <c r="F302" s="4" t="s">
        <v>1966</v>
      </c>
      <c r="G302" s="6" t="s">
        <v>1967</v>
      </c>
      <c r="H302" s="4" t="str">
        <f t="shared" si="20"/>
        <v>88.25</v>
      </c>
      <c r="I302" s="3">
        <v>46023</v>
      </c>
      <c r="J302" s="6">
        <v>538</v>
      </c>
      <c r="K302" s="6">
        <v>628.5</v>
      </c>
      <c r="L302" s="6" t="s">
        <v>1968</v>
      </c>
      <c r="M302" s="6" t="s">
        <v>444</v>
      </c>
      <c r="N302" s="6" t="s">
        <v>1955</v>
      </c>
      <c r="O302" s="4">
        <v>422.43</v>
      </c>
      <c r="P302" s="4">
        <v>11.12</v>
      </c>
      <c r="Q302" s="4">
        <v>58.6</v>
      </c>
      <c r="R302" s="4">
        <v>3.42</v>
      </c>
      <c r="S302" s="4">
        <v>5.25</v>
      </c>
      <c r="T302">
        <f t="shared" si="21"/>
        <v>12.83</v>
      </c>
      <c r="U302" s="18">
        <v>72.8</v>
      </c>
      <c r="V302" s="18">
        <f t="shared" si="22"/>
        <v>161.05</v>
      </c>
      <c r="W302" s="18">
        <f t="shared" si="23"/>
        <v>20.14</v>
      </c>
      <c r="X302" s="18">
        <f t="shared" si="24"/>
        <v>1166.5</v>
      </c>
      <c r="Y302" s="18"/>
      <c r="Z302" s="18"/>
    </row>
    <row r="303" ht="29.25" spans="1:31">
      <c r="A303">
        <v>2024</v>
      </c>
      <c r="B303" s="3">
        <v>46054</v>
      </c>
      <c r="C303" s="4" t="s">
        <v>1969</v>
      </c>
      <c r="D303" s="4" t="s">
        <v>1970</v>
      </c>
      <c r="E303" s="4" t="s">
        <v>1971</v>
      </c>
      <c r="F303" s="4" t="s">
        <v>1972</v>
      </c>
      <c r="G303" s="4" t="s">
        <v>1973</v>
      </c>
      <c r="H303" s="4" t="str">
        <f t="shared" si="20"/>
        <v>87.60</v>
      </c>
      <c r="I303" s="3">
        <v>46054</v>
      </c>
      <c r="J303" s="6">
        <v>542</v>
      </c>
      <c r="K303" s="4">
        <v>615.2</v>
      </c>
      <c r="L303" s="4" t="s">
        <v>1974</v>
      </c>
      <c r="M303" s="4" t="s">
        <v>1975</v>
      </c>
      <c r="N303" s="6" t="s">
        <v>1976</v>
      </c>
      <c r="O303" s="4">
        <v>423.67</v>
      </c>
      <c r="P303" s="4">
        <v>11.21</v>
      </c>
      <c r="Q303" s="4">
        <v>62.4</v>
      </c>
      <c r="R303" s="4">
        <v>3.65</v>
      </c>
      <c r="S303" s="4">
        <v>5.48</v>
      </c>
      <c r="T303">
        <f t="shared" si="21"/>
        <v>12.08</v>
      </c>
      <c r="U303" s="18">
        <v>73.5</v>
      </c>
      <c r="V303" s="18">
        <f t="shared" si="22"/>
        <v>161.1</v>
      </c>
      <c r="W303" s="18">
        <f t="shared" si="23"/>
        <v>19.48</v>
      </c>
      <c r="X303" s="18">
        <f t="shared" si="24"/>
        <v>1157.2</v>
      </c>
      <c r="Y303" s="18"/>
      <c r="Z303" s="18"/>
    </row>
    <row r="304" ht="29.25" spans="1:31">
      <c r="A304">
        <v>2024</v>
      </c>
      <c r="B304" s="3">
        <v>46082</v>
      </c>
      <c r="C304" s="4" t="s">
        <v>1977</v>
      </c>
      <c r="D304" s="4" t="s">
        <v>1978</v>
      </c>
      <c r="E304" s="4" t="s">
        <v>1979</v>
      </c>
      <c r="F304" s="4" t="s">
        <v>1980</v>
      </c>
      <c r="G304" s="4" t="s">
        <v>1981</v>
      </c>
      <c r="H304" s="4" t="str">
        <f t="shared" si="20"/>
        <v>85.35</v>
      </c>
      <c r="I304" s="3">
        <v>46082</v>
      </c>
      <c r="J304" s="6">
        <v>535</v>
      </c>
      <c r="K304" s="4">
        <v>592.7</v>
      </c>
      <c r="L304" s="4" t="s">
        <v>1982</v>
      </c>
      <c r="M304" s="4" t="s">
        <v>292</v>
      </c>
      <c r="N304" s="6" t="s">
        <v>1983</v>
      </c>
      <c r="O304" s="4">
        <v>424.55</v>
      </c>
      <c r="P304" s="4">
        <v>11.38</v>
      </c>
      <c r="Q304" s="6">
        <v>78.2</v>
      </c>
      <c r="R304" s="4">
        <v>4.12</v>
      </c>
      <c r="S304" s="4">
        <v>4.95</v>
      </c>
      <c r="T304">
        <f t="shared" si="21"/>
        <v>10.33</v>
      </c>
      <c r="U304" s="18">
        <v>75.2</v>
      </c>
      <c r="V304" s="18">
        <f t="shared" si="22"/>
        <v>160.55</v>
      </c>
      <c r="W304" s="18">
        <f t="shared" si="23"/>
        <v>17.21</v>
      </c>
      <c r="X304" s="18">
        <f t="shared" si="24"/>
        <v>1127.7</v>
      </c>
      <c r="Y304" s="18"/>
      <c r="Z304" s="18"/>
    </row>
    <row r="305" ht="29.25" spans="1:31">
      <c r="A305">
        <v>2024</v>
      </c>
      <c r="B305" s="3">
        <v>46113</v>
      </c>
      <c r="C305" s="4" t="s">
        <v>1984</v>
      </c>
      <c r="D305" s="4" t="s">
        <v>1985</v>
      </c>
      <c r="E305" s="4" t="s">
        <v>1986</v>
      </c>
      <c r="F305" s="4" t="s">
        <v>1987</v>
      </c>
      <c r="G305" s="4" t="s">
        <v>1988</v>
      </c>
      <c r="H305" s="4" t="str">
        <f t="shared" si="20"/>
        <v>82.10</v>
      </c>
      <c r="I305" s="3">
        <v>46113</v>
      </c>
      <c r="J305" s="6">
        <v>528</v>
      </c>
      <c r="K305" s="4">
        <v>565.4</v>
      </c>
      <c r="L305" s="4" t="s">
        <v>1989</v>
      </c>
      <c r="M305" s="4" t="s">
        <v>373</v>
      </c>
      <c r="N305" s="4" t="s">
        <v>1338</v>
      </c>
      <c r="O305" s="4">
        <v>426.31</v>
      </c>
      <c r="P305" s="4">
        <v>11.55</v>
      </c>
      <c r="Q305" s="4">
        <v>76.5</v>
      </c>
      <c r="R305" s="4">
        <v>4.88</v>
      </c>
      <c r="S305" s="4">
        <v>4.15</v>
      </c>
      <c r="T305">
        <f t="shared" si="21"/>
        <v>8.48</v>
      </c>
      <c r="U305" s="18">
        <v>77</v>
      </c>
      <c r="V305" s="18">
        <f t="shared" si="22"/>
        <v>159.1</v>
      </c>
      <c r="W305" s="18">
        <f t="shared" si="23"/>
        <v>13.95</v>
      </c>
      <c r="X305" s="18">
        <f t="shared" si="24"/>
        <v>1093.4</v>
      </c>
      <c r="Y305" s="18"/>
      <c r="Z305" s="18"/>
    </row>
    <row r="306" ht="29.25" spans="1:31">
      <c r="A306">
        <v>2024</v>
      </c>
      <c r="B306" s="3">
        <v>46143</v>
      </c>
      <c r="C306" s="4" t="s">
        <v>1990</v>
      </c>
      <c r="D306" s="6" t="s">
        <v>1991</v>
      </c>
      <c r="E306" s="6" t="s">
        <v>1992</v>
      </c>
      <c r="F306" s="4" t="s">
        <v>1993</v>
      </c>
      <c r="G306" s="4" t="s">
        <v>1994</v>
      </c>
      <c r="H306" s="4" t="str">
        <f t="shared" si="20"/>
        <v>79.45</v>
      </c>
      <c r="I306" s="3">
        <v>46143</v>
      </c>
      <c r="J306" s="6">
        <v>512</v>
      </c>
      <c r="K306" s="4">
        <v>538.2</v>
      </c>
      <c r="L306" s="4" t="s">
        <v>1995</v>
      </c>
      <c r="M306" s="4" t="s">
        <v>1996</v>
      </c>
      <c r="N306" s="4" t="s">
        <v>1331</v>
      </c>
      <c r="O306" s="6">
        <v>426.9</v>
      </c>
      <c r="P306" s="4">
        <v>11.82</v>
      </c>
      <c r="Q306" s="6">
        <v>84.4</v>
      </c>
      <c r="R306" s="6">
        <v>3.05</v>
      </c>
      <c r="S306" s="6">
        <v>6.82</v>
      </c>
      <c r="T306">
        <f t="shared" si="21"/>
        <v>-1.77</v>
      </c>
      <c r="U306" s="18">
        <v>87.2</v>
      </c>
      <c r="V306" s="18">
        <f t="shared" si="22"/>
        <v>166.65</v>
      </c>
      <c r="W306" s="18">
        <f t="shared" si="23"/>
        <v>11.29</v>
      </c>
      <c r="X306" s="18">
        <f t="shared" si="24"/>
        <v>1050.2</v>
      </c>
      <c r="Y306" s="18"/>
      <c r="Z306" s="18"/>
    </row>
    <row r="307" ht="44.25" spans="1:31">
      <c r="A307">
        <v>2024</v>
      </c>
      <c r="B307" s="3">
        <v>46174</v>
      </c>
      <c r="C307" s="4" t="s">
        <v>1997</v>
      </c>
      <c r="D307" s="4" t="s">
        <v>1998</v>
      </c>
      <c r="E307" s="4" t="s">
        <v>1999</v>
      </c>
      <c r="F307" s="4" t="s">
        <v>2000</v>
      </c>
      <c r="G307" s="4" t="s">
        <v>2001</v>
      </c>
      <c r="H307" s="4" t="str">
        <f t="shared" si="20"/>
        <v>76.85</v>
      </c>
      <c r="I307" s="3">
        <v>46174</v>
      </c>
      <c r="J307" s="6">
        <v>498</v>
      </c>
      <c r="K307" s="4">
        <v>512.6</v>
      </c>
      <c r="L307" s="6" t="s">
        <v>2002</v>
      </c>
      <c r="M307" s="6" t="s">
        <v>264</v>
      </c>
      <c r="N307" s="4" t="s">
        <v>2003</v>
      </c>
      <c r="O307" s="4">
        <v>426.41</v>
      </c>
      <c r="P307" s="6">
        <v>12.08</v>
      </c>
      <c r="Q307" s="4">
        <v>68.2</v>
      </c>
      <c r="R307" s="4">
        <v>5.85</v>
      </c>
      <c r="S307" s="4">
        <v>3.25</v>
      </c>
      <c r="T307">
        <f t="shared" si="21"/>
        <v>2.88</v>
      </c>
      <c r="U307" s="18">
        <v>82.5</v>
      </c>
      <c r="V307" s="18">
        <f t="shared" si="22"/>
        <v>159.35</v>
      </c>
      <c r="W307" s="18">
        <f t="shared" si="23"/>
        <v>8.67999999999999</v>
      </c>
      <c r="X307" s="18">
        <f t="shared" si="24"/>
        <v>1010.6</v>
      </c>
      <c r="Y307" s="18"/>
      <c r="Z307" s="18"/>
    </row>
    <row r="308" ht="41.25" spans="1:31">
      <c r="A308">
        <v>2024</v>
      </c>
      <c r="B308" s="3">
        <v>46204</v>
      </c>
      <c r="C308" s="4" t="s">
        <v>2004</v>
      </c>
      <c r="D308" s="6" t="s">
        <v>2005</v>
      </c>
      <c r="E308" s="6" t="s">
        <v>2006</v>
      </c>
      <c r="F308" s="4" t="s">
        <v>2007</v>
      </c>
      <c r="G308" s="6" t="s">
        <v>2008</v>
      </c>
      <c r="H308" s="4" t="str">
        <f t="shared" si="20"/>
        <v>73.15</v>
      </c>
      <c r="I308" s="3">
        <v>46204</v>
      </c>
      <c r="J308" s="6">
        <v>492</v>
      </c>
      <c r="K308" s="6">
        <v>498.7</v>
      </c>
      <c r="L308" s="6" t="s">
        <v>2009</v>
      </c>
      <c r="M308" s="4" t="s">
        <v>285</v>
      </c>
      <c r="N308" s="4" t="s">
        <v>1346</v>
      </c>
      <c r="O308" s="4">
        <v>424.34</v>
      </c>
      <c r="P308" s="6">
        <v>12.32</v>
      </c>
      <c r="Q308" s="4">
        <v>65.5</v>
      </c>
      <c r="R308" s="6">
        <v>7.35</v>
      </c>
      <c r="S308" s="6">
        <v>2.15</v>
      </c>
      <c r="T308">
        <f t="shared" si="21"/>
        <v>-1.47</v>
      </c>
      <c r="U308" s="18">
        <v>86.8</v>
      </c>
      <c r="V308" s="18">
        <f t="shared" si="22"/>
        <v>159.95</v>
      </c>
      <c r="W308" s="18">
        <f t="shared" si="23"/>
        <v>4.97</v>
      </c>
      <c r="X308" s="18">
        <f t="shared" si="24"/>
        <v>990.7</v>
      </c>
      <c r="Y308" s="18"/>
      <c r="Z308" s="18"/>
    </row>
    <row r="309" ht="29.25" spans="1:31">
      <c r="A309">
        <v>2024</v>
      </c>
      <c r="B309" s="3">
        <v>46235</v>
      </c>
      <c r="C309" s="4" t="s">
        <v>2010</v>
      </c>
      <c r="D309" s="4" t="s">
        <v>2011</v>
      </c>
      <c r="E309" s="4" t="s">
        <v>2012</v>
      </c>
      <c r="F309" s="4" t="s">
        <v>2013</v>
      </c>
      <c r="G309" s="4" t="s">
        <v>2014</v>
      </c>
      <c r="H309" s="4" t="str">
        <f t="shared" si="20"/>
        <v>75.60</v>
      </c>
      <c r="I309" s="3">
        <v>46235</v>
      </c>
      <c r="J309" s="6">
        <v>495</v>
      </c>
      <c r="K309" s="4">
        <v>506.4</v>
      </c>
      <c r="L309" s="4" t="s">
        <v>2015</v>
      </c>
      <c r="M309" s="4" t="s">
        <v>2016</v>
      </c>
      <c r="N309" s="4" t="s">
        <v>2017</v>
      </c>
      <c r="O309" s="4">
        <v>421.99</v>
      </c>
      <c r="P309" s="6">
        <v>12.45</v>
      </c>
      <c r="Q309" s="4">
        <v>72.8</v>
      </c>
      <c r="R309" s="4">
        <v>6.58</v>
      </c>
      <c r="S309" s="4">
        <v>2.32</v>
      </c>
      <c r="T309">
        <f t="shared" si="21"/>
        <v>2.08</v>
      </c>
      <c r="U309" s="18">
        <v>83.2</v>
      </c>
      <c r="V309" s="18">
        <f t="shared" si="22"/>
        <v>158.8</v>
      </c>
      <c r="W309" s="18">
        <f t="shared" si="23"/>
        <v>7.39999999999999</v>
      </c>
      <c r="X309" s="18">
        <f t="shared" si="24"/>
        <v>1001.4</v>
      </c>
      <c r="Y309" s="18"/>
      <c r="Z309" s="18"/>
    </row>
    <row r="310" ht="42" spans="1:31">
      <c r="A310">
        <v>2024</v>
      </c>
      <c r="B310" s="3">
        <v>46266</v>
      </c>
      <c r="C310" s="4" t="s">
        <v>2018</v>
      </c>
      <c r="D310" s="4" t="s">
        <v>2019</v>
      </c>
      <c r="E310" s="4" t="s">
        <v>2020</v>
      </c>
      <c r="F310" s="4" t="s">
        <v>2021</v>
      </c>
      <c r="G310" s="4" t="s">
        <v>2022</v>
      </c>
      <c r="H310" s="4" t="str">
        <f t="shared" si="20"/>
        <v>78.12</v>
      </c>
      <c r="I310" s="3">
        <v>46266</v>
      </c>
      <c r="J310" s="6">
        <v>510</v>
      </c>
      <c r="K310" s="4">
        <v>535.8</v>
      </c>
      <c r="L310" s="4" t="s">
        <v>2023</v>
      </c>
      <c r="M310" s="4" t="s">
        <v>2024</v>
      </c>
      <c r="N310" s="4" t="s">
        <v>2025</v>
      </c>
      <c r="O310" s="6">
        <v>420.33</v>
      </c>
      <c r="P310" s="4">
        <v>12.12</v>
      </c>
      <c r="Q310" s="4">
        <v>82.1</v>
      </c>
      <c r="R310" s="4">
        <v>5.45</v>
      </c>
      <c r="S310" s="4">
        <v>3.58</v>
      </c>
      <c r="T310">
        <f t="shared" si="21"/>
        <v>4.73</v>
      </c>
      <c r="U310" s="18">
        <v>80.5</v>
      </c>
      <c r="V310" s="18">
        <f t="shared" si="22"/>
        <v>158.62</v>
      </c>
      <c r="W310" s="18">
        <f t="shared" si="23"/>
        <v>9.91000000000001</v>
      </c>
      <c r="X310" s="18">
        <f t="shared" si="24"/>
        <v>1045.8</v>
      </c>
      <c r="Y310" s="18"/>
      <c r="Z310" s="18"/>
    </row>
    <row r="311" ht="41.25" spans="1:31">
      <c r="A311">
        <v>2024</v>
      </c>
      <c r="B311" s="3">
        <v>46296</v>
      </c>
      <c r="C311" s="4" t="s">
        <v>2026</v>
      </c>
      <c r="D311" s="4" t="s">
        <v>2027</v>
      </c>
      <c r="E311" s="4" t="s">
        <v>2028</v>
      </c>
      <c r="F311" s="4" t="s">
        <v>2029</v>
      </c>
      <c r="G311" s="4" t="s">
        <v>2030</v>
      </c>
      <c r="H311" s="4" t="str">
        <f t="shared" si="20"/>
        <v>82.40</v>
      </c>
      <c r="I311" s="3">
        <v>46296</v>
      </c>
      <c r="J311" s="6">
        <v>528</v>
      </c>
      <c r="K311" s="4">
        <v>568.2</v>
      </c>
      <c r="L311" s="4" t="s">
        <v>2031</v>
      </c>
      <c r="M311" s="6" t="s">
        <v>1057</v>
      </c>
      <c r="N311" s="4" t="s">
        <v>2032</v>
      </c>
      <c r="O311" s="4">
        <v>420.81</v>
      </c>
      <c r="P311" s="4">
        <v>11.78</v>
      </c>
      <c r="Q311" s="6">
        <v>94.6</v>
      </c>
      <c r="R311" s="4">
        <v>4.82</v>
      </c>
      <c r="S311" s="4">
        <v>4.75</v>
      </c>
      <c r="T311">
        <f t="shared" si="21"/>
        <v>6.68000000000001</v>
      </c>
      <c r="U311" s="18">
        <v>78.5</v>
      </c>
      <c r="V311" s="18">
        <f t="shared" si="22"/>
        <v>160.9</v>
      </c>
      <c r="W311" s="18">
        <f t="shared" si="23"/>
        <v>14.18</v>
      </c>
      <c r="X311" s="18">
        <f t="shared" si="24"/>
        <v>1096.2</v>
      </c>
      <c r="Y311" s="18"/>
      <c r="Z311" s="18"/>
    </row>
    <row r="312" ht="30" spans="1:31">
      <c r="A312">
        <v>2024</v>
      </c>
      <c r="B312" s="3">
        <v>46327</v>
      </c>
      <c r="C312" s="4" t="s">
        <v>2033</v>
      </c>
      <c r="D312" s="4" t="s">
        <v>2034</v>
      </c>
      <c r="E312" s="4" t="s">
        <v>2035</v>
      </c>
      <c r="F312" s="4" t="s">
        <v>2036</v>
      </c>
      <c r="G312" s="6" t="s">
        <v>2037</v>
      </c>
      <c r="H312" s="4" t="str">
        <f t="shared" si="20"/>
        <v>86.15</v>
      </c>
      <c r="I312" s="3">
        <v>46327</v>
      </c>
      <c r="J312" s="6">
        <v>545</v>
      </c>
      <c r="K312" s="4">
        <v>592.5</v>
      </c>
      <c r="L312" s="4" t="s">
        <v>2038</v>
      </c>
      <c r="M312" s="4" t="s">
        <v>403</v>
      </c>
      <c r="N312" s="4" t="s">
        <v>1919</v>
      </c>
      <c r="O312" s="4">
        <v>422.36</v>
      </c>
      <c r="P312" s="4">
        <v>11.52</v>
      </c>
      <c r="Q312" s="6">
        <v>98.8</v>
      </c>
      <c r="R312" s="4">
        <v>4.25</v>
      </c>
      <c r="S312" s="4">
        <v>5.62</v>
      </c>
      <c r="T312">
        <f t="shared" si="21"/>
        <v>8.33</v>
      </c>
      <c r="U312" s="18">
        <v>76.8</v>
      </c>
      <c r="V312" s="18">
        <f t="shared" si="22"/>
        <v>162.95</v>
      </c>
      <c r="W312" s="18">
        <f t="shared" si="23"/>
        <v>17.92</v>
      </c>
      <c r="X312" s="18">
        <f t="shared" si="24"/>
        <v>1137.5</v>
      </c>
      <c r="Y312" s="18"/>
      <c r="Z312" s="18"/>
    </row>
    <row r="313" ht="30" spans="1:31">
      <c r="A313">
        <v>2024</v>
      </c>
      <c r="B313" s="3">
        <v>46357</v>
      </c>
      <c r="C313" s="4" t="s">
        <v>2039</v>
      </c>
      <c r="D313" s="4" t="s">
        <v>2040</v>
      </c>
      <c r="E313" s="4" t="s">
        <v>2041</v>
      </c>
      <c r="F313" s="4" t="s">
        <v>2042</v>
      </c>
      <c r="G313" s="6" t="s">
        <v>2043</v>
      </c>
      <c r="H313" s="4" t="str">
        <f t="shared" si="20"/>
        <v>87.90</v>
      </c>
      <c r="I313" s="3">
        <v>46357</v>
      </c>
      <c r="J313" s="6">
        <v>558</v>
      </c>
      <c r="K313" s="6">
        <v>610.4</v>
      </c>
      <c r="L313" s="6" t="s">
        <v>2044</v>
      </c>
      <c r="M313" s="6" t="s">
        <v>1186</v>
      </c>
      <c r="N313" s="6" t="s">
        <v>1309</v>
      </c>
      <c r="O313" s="4">
        <v>424.28</v>
      </c>
      <c r="P313" s="4">
        <v>11.35</v>
      </c>
      <c r="Q313" s="4">
        <v>85.2</v>
      </c>
      <c r="R313" s="4">
        <v>3.88</v>
      </c>
      <c r="S313" s="4">
        <v>5.95</v>
      </c>
      <c r="T313">
        <f t="shared" si="21"/>
        <v>9.58</v>
      </c>
      <c r="U313" s="18">
        <v>75.5</v>
      </c>
      <c r="V313" s="18">
        <f t="shared" si="22"/>
        <v>163.4</v>
      </c>
      <c r="W313" s="18">
        <f t="shared" si="23"/>
        <v>19.65</v>
      </c>
      <c r="X313" s="18">
        <f t="shared" si="24"/>
        <v>1168.4</v>
      </c>
      <c r="Y313" s="18">
        <f>AVERAGE(X302:X313)</f>
        <v>1087.13333333333</v>
      </c>
      <c r="Z313" s="18">
        <f>AVERAGE(W302:W304)</f>
        <v>18.9433333333333</v>
      </c>
      <c r="AA313">
        <f>(SUM(U302:U313)-SUM(U308:U310))/9</f>
        <v>77.6666666666667</v>
      </c>
      <c r="AB313">
        <f>AVERAGE(T302:T313)</f>
        <v>6.23</v>
      </c>
      <c r="AC313">
        <f>(SUM(T302:T313)-T306-T308)/10</f>
        <v>7.8</v>
      </c>
      <c r="AD313">
        <f>AVERAGE(T302:T304)</f>
        <v>11.7466666666667</v>
      </c>
      <c r="AE313">
        <f>AVERAGE(V302:V313)</f>
        <v>161.035</v>
      </c>
    </row>
    <row r="314" ht="60.75" spans="1:31">
      <c r="B314" s="6" t="s">
        <v>2045</v>
      </c>
      <c r="C314" s="6" t="s">
        <v>396</v>
      </c>
      <c r="D314" s="6" t="s">
        <v>8</v>
      </c>
      <c r="E314" s="6" t="s">
        <v>124</v>
      </c>
      <c r="F314" s="6" t="s">
        <v>10</v>
      </c>
      <c r="G314" s="6" t="s">
        <v>125</v>
      </c>
      <c r="H314" s="4" t="str">
        <f t="shared" si="20"/>
        <v>650 氢</v>
      </c>
      <c r="I314" s="6" t="s">
        <v>2045</v>
      </c>
      <c r="J314" s="6" t="s">
        <v>126</v>
      </c>
      <c r="K314" s="6" t="s">
        <v>126</v>
      </c>
      <c r="L314" s="6" t="s">
        <v>127</v>
      </c>
      <c r="M314" s="6" t="s">
        <v>15</v>
      </c>
      <c r="N314" s="6" t="s">
        <v>16</v>
      </c>
      <c r="O314" s="6" t="s">
        <v>17</v>
      </c>
      <c r="P314" s="6" t="s">
        <v>18</v>
      </c>
      <c r="Q314" s="6" t="s">
        <v>19</v>
      </c>
      <c r="R314" s="6" t="s">
        <v>128</v>
      </c>
      <c r="S314" s="6" t="s">
        <v>21</v>
      </c>
      <c r="T314" t="e">
        <f t="shared" si="21"/>
        <v>#VALUE!</v>
      </c>
      <c r="U314" s="19" t="s">
        <v>129</v>
      </c>
      <c r="V314" s="18" t="e">
        <f t="shared" si="22"/>
        <v>#VALUE!</v>
      </c>
      <c r="W314" s="18" t="e">
        <f t="shared" si="23"/>
        <v>#VALUE!</v>
      </c>
      <c r="X314" s="18">
        <f t="shared" si="24"/>
        <v>0</v>
      </c>
      <c r="Y314" s="18"/>
      <c r="Z314" s="18"/>
    </row>
    <row r="315" ht="44.25" spans="1:31">
      <c r="A315">
        <v>2025</v>
      </c>
      <c r="B315" s="3">
        <v>46023</v>
      </c>
      <c r="C315" s="4" t="s">
        <v>2046</v>
      </c>
      <c r="D315" s="4" t="s">
        <v>2047</v>
      </c>
      <c r="E315" s="6" t="s">
        <v>2048</v>
      </c>
      <c r="F315" s="4" t="s">
        <v>2049</v>
      </c>
      <c r="G315" s="6" t="s">
        <v>2050</v>
      </c>
      <c r="H315" s="4" t="str">
        <f t="shared" si="20"/>
        <v>87.65</v>
      </c>
      <c r="I315" s="3">
        <v>46023</v>
      </c>
      <c r="J315" s="6">
        <v>552</v>
      </c>
      <c r="K315" s="6">
        <v>592.6</v>
      </c>
      <c r="L315" s="6" t="s">
        <v>2051</v>
      </c>
      <c r="M315" s="6" t="s">
        <v>918</v>
      </c>
      <c r="N315" s="6" t="s">
        <v>1301</v>
      </c>
      <c r="O315" s="4">
        <v>425.21</v>
      </c>
      <c r="P315" s="4">
        <v>11.45</v>
      </c>
      <c r="Q315" s="6">
        <v>68.2</v>
      </c>
      <c r="R315" s="4">
        <v>3.55</v>
      </c>
      <c r="S315" s="4">
        <v>5.68</v>
      </c>
      <c r="T315">
        <f t="shared" si="21"/>
        <v>12.23</v>
      </c>
      <c r="U315" s="18">
        <v>72.8</v>
      </c>
      <c r="V315" s="18">
        <f t="shared" si="22"/>
        <v>160.45</v>
      </c>
      <c r="W315" s="18">
        <f t="shared" si="23"/>
        <v>19.39</v>
      </c>
      <c r="X315" s="18">
        <f t="shared" si="24"/>
        <v>1144.6</v>
      </c>
      <c r="Y315" s="18"/>
      <c r="Z315" s="18"/>
    </row>
    <row r="316" ht="41.25" spans="1:31">
      <c r="A316">
        <v>2025</v>
      </c>
      <c r="B316" s="3">
        <v>46054</v>
      </c>
      <c r="C316" s="4" t="s">
        <v>2052</v>
      </c>
      <c r="D316" s="4" t="s">
        <v>2053</v>
      </c>
      <c r="E316" s="4" t="s">
        <v>2054</v>
      </c>
      <c r="F316" s="4" t="s">
        <v>2055</v>
      </c>
      <c r="G316" s="4" t="s">
        <v>2056</v>
      </c>
      <c r="H316" s="4" t="str">
        <f t="shared" si="20"/>
        <v>87.12</v>
      </c>
      <c r="I316" s="3">
        <v>46054</v>
      </c>
      <c r="J316" s="6">
        <v>550</v>
      </c>
      <c r="K316" s="4">
        <v>565.4</v>
      </c>
      <c r="L316" s="4" t="s">
        <v>2057</v>
      </c>
      <c r="M316" s="4" t="s">
        <v>444</v>
      </c>
      <c r="N316" s="4" t="s">
        <v>1294</v>
      </c>
      <c r="O316" s="4">
        <v>426.05</v>
      </c>
      <c r="P316" s="4">
        <v>11.52</v>
      </c>
      <c r="Q316" s="4">
        <v>72.5</v>
      </c>
      <c r="R316" s="4">
        <v>3.72</v>
      </c>
      <c r="S316" s="4">
        <v>5.92</v>
      </c>
      <c r="T316">
        <f t="shared" si="21"/>
        <v>11.48</v>
      </c>
      <c r="U316" s="18">
        <v>73.5</v>
      </c>
      <c r="V316" s="18">
        <f t="shared" si="22"/>
        <v>160.62</v>
      </c>
      <c r="W316" s="18">
        <f t="shared" si="23"/>
        <v>18.85</v>
      </c>
      <c r="X316" s="18">
        <f t="shared" si="24"/>
        <v>1115.4</v>
      </c>
      <c r="Y316" s="18"/>
      <c r="Z316" s="18"/>
    </row>
    <row r="317" ht="41.25" spans="1:31">
      <c r="A317">
        <v>2025</v>
      </c>
      <c r="B317" s="3">
        <v>46082</v>
      </c>
      <c r="C317" s="4" t="s">
        <v>2058</v>
      </c>
      <c r="D317" s="4" t="s">
        <v>2059</v>
      </c>
      <c r="E317" s="4" t="s">
        <v>2060</v>
      </c>
      <c r="F317" s="4" t="s">
        <v>2061</v>
      </c>
      <c r="G317" s="4" t="s">
        <v>2062</v>
      </c>
      <c r="H317" s="4" t="str">
        <f t="shared" si="20"/>
        <v>84.95</v>
      </c>
      <c r="I317" s="3">
        <v>46082</v>
      </c>
      <c r="J317" s="6">
        <v>542</v>
      </c>
      <c r="K317" s="4">
        <v>528.7</v>
      </c>
      <c r="L317" s="4" t="s">
        <v>2063</v>
      </c>
      <c r="M317" s="4" t="s">
        <v>373</v>
      </c>
      <c r="N317" s="4" t="s">
        <v>1317</v>
      </c>
      <c r="O317" s="4">
        <v>426.88</v>
      </c>
      <c r="P317" s="4">
        <v>11.75</v>
      </c>
      <c r="Q317" s="6">
        <v>88.4</v>
      </c>
      <c r="R317" s="4">
        <v>4.25</v>
      </c>
      <c r="S317" s="4">
        <v>5.15</v>
      </c>
      <c r="T317">
        <f t="shared" si="21"/>
        <v>9.13000000000001</v>
      </c>
      <c r="U317" s="18">
        <v>75.8</v>
      </c>
      <c r="V317" s="18">
        <f t="shared" si="22"/>
        <v>160.75</v>
      </c>
      <c r="W317" s="18">
        <f t="shared" si="23"/>
        <v>16.66</v>
      </c>
      <c r="X317" s="18">
        <f t="shared" si="24"/>
        <v>1070.7</v>
      </c>
      <c r="Y317" s="18"/>
      <c r="Z317" s="18"/>
    </row>
    <row r="318" ht="29.25" spans="1:31">
      <c r="A318">
        <v>2025</v>
      </c>
      <c r="B318" s="3">
        <v>46113</v>
      </c>
      <c r="C318" s="4" t="s">
        <v>2064</v>
      </c>
      <c r="D318" s="4" t="s">
        <v>2065</v>
      </c>
      <c r="E318" s="6" t="s">
        <v>2066</v>
      </c>
      <c r="F318" s="4" t="s">
        <v>2067</v>
      </c>
      <c r="G318" s="4" t="s">
        <v>2068</v>
      </c>
      <c r="H318" s="4" t="str">
        <f t="shared" si="20"/>
        <v>81.30</v>
      </c>
      <c r="I318" s="3">
        <v>46113</v>
      </c>
      <c r="J318" s="6">
        <v>535</v>
      </c>
      <c r="K318" s="6">
        <v>492.5</v>
      </c>
      <c r="L318" s="4" t="s">
        <v>2069</v>
      </c>
      <c r="M318" s="4" t="s">
        <v>2070</v>
      </c>
      <c r="N318" s="4" t="s">
        <v>1346</v>
      </c>
      <c r="O318" s="4">
        <v>428.14</v>
      </c>
      <c r="P318" s="4">
        <v>11.98</v>
      </c>
      <c r="Q318" s="4">
        <v>85.1</v>
      </c>
      <c r="R318" s="4">
        <v>4.95</v>
      </c>
      <c r="S318" s="4">
        <v>4.42</v>
      </c>
      <c r="T318">
        <f t="shared" si="21"/>
        <v>7.38</v>
      </c>
      <c r="U318" s="18">
        <v>77.5</v>
      </c>
      <c r="V318" s="18">
        <f t="shared" si="22"/>
        <v>158.8</v>
      </c>
      <c r="W318" s="18">
        <f t="shared" si="23"/>
        <v>13</v>
      </c>
      <c r="X318" s="18">
        <f t="shared" si="24"/>
        <v>1027.5</v>
      </c>
      <c r="Y318" s="18"/>
      <c r="Z318" s="18"/>
    </row>
    <row r="319" ht="42" spans="1:31">
      <c r="A319">
        <v>2025</v>
      </c>
      <c r="B319" s="3">
        <v>46143</v>
      </c>
      <c r="C319" s="4" t="s">
        <v>2071</v>
      </c>
      <c r="D319" s="4" t="s">
        <v>2072</v>
      </c>
      <c r="E319" s="4" t="s">
        <v>2073</v>
      </c>
      <c r="F319" s="4" t="s">
        <v>2074</v>
      </c>
      <c r="G319" s="4" t="s">
        <v>2075</v>
      </c>
      <c r="H319" s="4" t="str">
        <f t="shared" si="20"/>
        <v>78.15</v>
      </c>
      <c r="I319" s="3">
        <v>46143</v>
      </c>
      <c r="J319" s="6">
        <v>518</v>
      </c>
      <c r="K319" s="4">
        <v>465.8</v>
      </c>
      <c r="L319" s="4" t="s">
        <v>2076</v>
      </c>
      <c r="M319" s="4" t="s">
        <v>464</v>
      </c>
      <c r="N319" s="6" t="s">
        <v>2077</v>
      </c>
      <c r="O319" s="6">
        <v>429.35</v>
      </c>
      <c r="P319" s="6">
        <v>12.25</v>
      </c>
      <c r="Q319" s="6">
        <v>92.6</v>
      </c>
      <c r="R319" s="4">
        <v>5.85</v>
      </c>
      <c r="S319" s="4">
        <v>3.55</v>
      </c>
      <c r="T319">
        <f t="shared" si="21"/>
        <v>5.33</v>
      </c>
      <c r="U319" s="18">
        <v>79.5</v>
      </c>
      <c r="V319" s="18">
        <f t="shared" si="22"/>
        <v>157.65</v>
      </c>
      <c r="W319" s="18">
        <f t="shared" si="23"/>
        <v>9.84</v>
      </c>
      <c r="X319" s="18">
        <f t="shared" si="24"/>
        <v>983.8</v>
      </c>
      <c r="Y319" s="18"/>
      <c r="Z319" s="18"/>
    </row>
    <row r="320" ht="44.25" spans="1:31">
      <c r="A320">
        <v>2025</v>
      </c>
      <c r="B320" s="3">
        <v>46174</v>
      </c>
      <c r="C320" s="4" t="s">
        <v>2078</v>
      </c>
      <c r="D320" s="4" t="s">
        <v>2079</v>
      </c>
      <c r="E320" s="4" t="s">
        <v>2080</v>
      </c>
      <c r="F320" s="4" t="s">
        <v>2081</v>
      </c>
      <c r="G320" s="4" t="s">
        <v>2082</v>
      </c>
      <c r="H320" s="4" t="str">
        <f t="shared" si="20"/>
        <v>75.40</v>
      </c>
      <c r="I320" s="3">
        <v>46174</v>
      </c>
      <c r="J320" s="6">
        <v>505</v>
      </c>
      <c r="K320" s="4">
        <v>438.2</v>
      </c>
      <c r="L320" s="6" t="s">
        <v>2083</v>
      </c>
      <c r="M320" s="4" t="s">
        <v>1205</v>
      </c>
      <c r="N320" s="4" t="s">
        <v>1927</v>
      </c>
      <c r="O320" s="4">
        <v>428.77</v>
      </c>
      <c r="P320" s="6">
        <v>12.51</v>
      </c>
      <c r="Q320" s="4">
        <v>76.8</v>
      </c>
      <c r="R320" s="4">
        <v>6.82</v>
      </c>
      <c r="S320" s="4">
        <v>2.58</v>
      </c>
      <c r="T320" s="7">
        <f t="shared" si="21"/>
        <v>2.98</v>
      </c>
      <c r="U320" s="18">
        <v>81.8</v>
      </c>
      <c r="V320" s="18">
        <f t="shared" si="22"/>
        <v>157.2</v>
      </c>
      <c r="W320" s="18">
        <f t="shared" si="23"/>
        <v>7.08000000000001</v>
      </c>
      <c r="X320" s="18">
        <f t="shared" si="24"/>
        <v>943.2</v>
      </c>
      <c r="Y320" s="18"/>
      <c r="Z320" s="18"/>
    </row>
    <row r="321" ht="41.25" spans="1:31">
      <c r="A321">
        <v>2025</v>
      </c>
      <c r="B321" s="3">
        <v>46204</v>
      </c>
      <c r="C321" s="4" t="s">
        <v>2084</v>
      </c>
      <c r="D321" s="6" t="s">
        <v>2085</v>
      </c>
      <c r="E321" s="6" t="s">
        <v>2086</v>
      </c>
      <c r="F321" s="4" t="s">
        <v>2087</v>
      </c>
      <c r="G321" s="6" t="s">
        <v>2088</v>
      </c>
      <c r="H321" s="4" t="str">
        <f t="shared" si="20"/>
        <v>72.90</v>
      </c>
      <c r="I321" s="3">
        <v>46204</v>
      </c>
      <c r="J321" s="6">
        <v>498</v>
      </c>
      <c r="K321" s="6">
        <v>422.4</v>
      </c>
      <c r="L321" s="6" t="s">
        <v>2089</v>
      </c>
      <c r="M321" s="4" t="s">
        <v>2090</v>
      </c>
      <c r="N321" s="4" t="s">
        <v>2091</v>
      </c>
      <c r="O321" s="4">
        <v>426.92</v>
      </c>
      <c r="P321" s="6">
        <v>12.78</v>
      </c>
      <c r="Q321" s="4">
        <v>74.2</v>
      </c>
      <c r="R321" s="6">
        <v>7.52</v>
      </c>
      <c r="S321" s="6">
        <v>2.25</v>
      </c>
      <c r="T321" s="7">
        <f t="shared" si="21"/>
        <v>-1.77</v>
      </c>
      <c r="U321" s="18">
        <v>86.5</v>
      </c>
      <c r="V321" s="18">
        <f t="shared" si="22"/>
        <v>159.4</v>
      </c>
      <c r="W321" s="18">
        <f t="shared" si="23"/>
        <v>4.57000000000001</v>
      </c>
      <c r="X321" s="18">
        <f t="shared" si="24"/>
        <v>920.4</v>
      </c>
      <c r="Y321" s="18"/>
      <c r="Z321" s="18"/>
    </row>
    <row r="322" ht="29.25" spans="1:31">
      <c r="A322">
        <v>2025</v>
      </c>
      <c r="B322" s="3">
        <v>46235</v>
      </c>
      <c r="C322" s="4" t="s">
        <v>2092</v>
      </c>
      <c r="D322" s="4" t="s">
        <v>2093</v>
      </c>
      <c r="E322" s="4" t="s">
        <v>2094</v>
      </c>
      <c r="F322" s="4" t="s">
        <v>2095</v>
      </c>
      <c r="G322" s="4" t="s">
        <v>2096</v>
      </c>
      <c r="H322" s="4" t="str">
        <f t="shared" si="20"/>
        <v>74.85</v>
      </c>
      <c r="I322" s="3">
        <v>46235</v>
      </c>
      <c r="J322" s="6">
        <v>502</v>
      </c>
      <c r="K322" s="4">
        <v>430.6</v>
      </c>
      <c r="L322" s="4" t="s">
        <v>2097</v>
      </c>
      <c r="M322" s="4" t="s">
        <v>2098</v>
      </c>
      <c r="N322" s="4" t="s">
        <v>1919</v>
      </c>
      <c r="O322" s="4">
        <v>424.81</v>
      </c>
      <c r="P322" s="6">
        <v>12.85</v>
      </c>
      <c r="Q322" s="4">
        <v>82.5</v>
      </c>
      <c r="R322" s="4">
        <v>6.65</v>
      </c>
      <c r="S322" s="4">
        <v>2.48</v>
      </c>
      <c r="T322" s="7">
        <f t="shared" si="21"/>
        <v>1.48</v>
      </c>
      <c r="U322" s="18">
        <v>83.2</v>
      </c>
      <c r="V322" s="18">
        <f t="shared" si="22"/>
        <v>158.05</v>
      </c>
      <c r="W322" s="18">
        <f t="shared" si="23"/>
        <v>6.5</v>
      </c>
      <c r="X322" s="18">
        <f t="shared" si="24"/>
        <v>932.6</v>
      </c>
      <c r="Y322" s="18"/>
      <c r="Z322" s="18"/>
    </row>
    <row r="323" ht="29.25" spans="1:31">
      <c r="A323">
        <v>2025</v>
      </c>
      <c r="B323" s="3">
        <v>46266</v>
      </c>
      <c r="C323" s="4" t="s">
        <v>2099</v>
      </c>
      <c r="D323" s="4" t="s">
        <v>2100</v>
      </c>
      <c r="E323" s="4" t="s">
        <v>2101</v>
      </c>
      <c r="F323" s="4" t="s">
        <v>2102</v>
      </c>
      <c r="G323" s="4" t="s">
        <v>2103</v>
      </c>
      <c r="H323" s="4" t="str">
        <f>LEFT(G323,5)</f>
        <v>77.20</v>
      </c>
      <c r="I323" s="3">
        <v>46266</v>
      </c>
      <c r="J323" s="6">
        <v>515</v>
      </c>
      <c r="K323" s="4">
        <v>448.7</v>
      </c>
      <c r="L323" s="4" t="s">
        <v>2104</v>
      </c>
      <c r="M323" s="4" t="s">
        <v>904</v>
      </c>
      <c r="N323" s="4" t="s">
        <v>2025</v>
      </c>
      <c r="O323" s="6">
        <v>423.15</v>
      </c>
      <c r="P323" s="4">
        <v>12.42</v>
      </c>
      <c r="Q323" s="4">
        <v>89.6</v>
      </c>
      <c r="R323" s="4">
        <v>5.62</v>
      </c>
      <c r="S323" s="4">
        <v>3.82</v>
      </c>
      <c r="T323">
        <f>LEFT(C323,5)-LEFT(D323,4)</f>
        <v>4.42999999999999</v>
      </c>
      <c r="U323" s="18">
        <v>80.2</v>
      </c>
      <c r="V323" s="18">
        <f>LEFT(D323,4)+LEFT(G323,5)</f>
        <v>157.4</v>
      </c>
      <c r="W323" s="18">
        <f>LEFT(G323,5)-LEFT(F323,5)</f>
        <v>8.84</v>
      </c>
      <c r="X323" s="18">
        <f>SUM(J323:K323)</f>
        <v>963.7</v>
      </c>
      <c r="Y323" s="18"/>
      <c r="Z323" s="18"/>
    </row>
    <row r="324" ht="42" spans="1:31">
      <c r="A324">
        <v>2025</v>
      </c>
      <c r="B324" s="3">
        <v>46296</v>
      </c>
      <c r="C324" s="4" t="s">
        <v>2105</v>
      </c>
      <c r="D324" s="4" t="s">
        <v>2106</v>
      </c>
      <c r="E324" s="6" t="s">
        <v>2107</v>
      </c>
      <c r="F324" s="4" t="s">
        <v>2108</v>
      </c>
      <c r="G324" s="4" t="s">
        <v>2109</v>
      </c>
      <c r="H324" s="4" t="str">
        <f>LEFT(G324,5)</f>
        <v>81.65</v>
      </c>
      <c r="I324" s="3">
        <v>46296</v>
      </c>
      <c r="J324" s="6">
        <v>532</v>
      </c>
      <c r="K324" s="4">
        <v>472.5</v>
      </c>
      <c r="L324" s="4" t="s">
        <v>2110</v>
      </c>
      <c r="M324" s="4" t="s">
        <v>2111</v>
      </c>
      <c r="N324" s="4" t="s">
        <v>2003</v>
      </c>
      <c r="O324" s="4">
        <v>423.59</v>
      </c>
      <c r="P324" s="4">
        <v>12.15</v>
      </c>
      <c r="Q324" s="6">
        <v>102.4</v>
      </c>
      <c r="R324" s="4">
        <v>4.98</v>
      </c>
      <c r="S324" s="4">
        <v>4.92</v>
      </c>
      <c r="T324">
        <f>LEFT(C324,5)-LEFT(D324,4)</f>
        <v>6.08</v>
      </c>
      <c r="U324" s="18">
        <v>78.5</v>
      </c>
      <c r="V324" s="18">
        <f>LEFT(D324,4)+LEFT(G324,5)</f>
        <v>160.15</v>
      </c>
      <c r="W324" s="18">
        <f>LEFT(G324,5)-LEFT(F324,5)</f>
        <v>13.28</v>
      </c>
      <c r="X324" s="18">
        <f>SUM(J324:K324)</f>
        <v>1004.5</v>
      </c>
      <c r="Y324" s="18"/>
      <c r="Z324" s="18"/>
    </row>
    <row r="325" ht="30" spans="1:31">
      <c r="A325">
        <v>2025</v>
      </c>
      <c r="B325" s="3">
        <v>46327</v>
      </c>
      <c r="C325" s="4" t="s">
        <v>2112</v>
      </c>
      <c r="D325" s="4" t="s">
        <v>2113</v>
      </c>
      <c r="E325" s="4" t="s">
        <v>2114</v>
      </c>
      <c r="F325" s="4" t="s">
        <v>2115</v>
      </c>
      <c r="G325" s="6" t="s">
        <v>2116</v>
      </c>
      <c r="H325" s="4" t="str">
        <f>LEFT(G325,5)</f>
        <v>85.12</v>
      </c>
      <c r="I325" s="3">
        <v>46327</v>
      </c>
      <c r="J325" s="6">
        <v>548</v>
      </c>
      <c r="K325" s="4">
        <v>495.2</v>
      </c>
      <c r="L325" s="4" t="s">
        <v>2117</v>
      </c>
      <c r="M325" s="4" t="s">
        <v>2118</v>
      </c>
      <c r="N325" s="4" t="s">
        <v>2017</v>
      </c>
      <c r="O325" s="4">
        <v>425.02</v>
      </c>
      <c r="P325" s="4">
        <v>11.88</v>
      </c>
      <c r="Q325" s="6">
        <v>108.5</v>
      </c>
      <c r="R325" s="4">
        <v>4.35</v>
      </c>
      <c r="S325" s="4">
        <v>5.85</v>
      </c>
      <c r="T325">
        <f>LEFT(C325,5)-LEFT(D325,4)</f>
        <v>8.03</v>
      </c>
      <c r="U325" s="18">
        <v>76.5</v>
      </c>
      <c r="V325" s="18">
        <f>LEFT(D325,4)+LEFT(G325,5)</f>
        <v>161.62</v>
      </c>
      <c r="W325" s="18">
        <f>LEFT(G325,5)-LEFT(F325,5)</f>
        <v>16.74</v>
      </c>
      <c r="X325" s="18">
        <f>SUM(J325:K325)</f>
        <v>1043.2</v>
      </c>
      <c r="Y325" s="18"/>
      <c r="Z325" s="18"/>
    </row>
    <row r="326" ht="30" spans="1:31">
      <c r="A326">
        <v>2025</v>
      </c>
      <c r="B326" s="3">
        <v>46357</v>
      </c>
      <c r="C326" s="4" t="s">
        <v>2119</v>
      </c>
      <c r="D326" s="4" t="s">
        <v>2120</v>
      </c>
      <c r="E326" s="4" t="s">
        <v>2121</v>
      </c>
      <c r="F326" s="4" t="s">
        <v>2122</v>
      </c>
      <c r="G326" s="6" t="s">
        <v>2123</v>
      </c>
      <c r="H326" s="4" t="str">
        <f>LEFT(G326,5)</f>
        <v>87.25</v>
      </c>
      <c r="I326" s="3">
        <v>46357</v>
      </c>
      <c r="J326" s="6">
        <v>555</v>
      </c>
      <c r="K326" s="6">
        <v>518.4</v>
      </c>
      <c r="L326" s="4" t="s">
        <v>2124</v>
      </c>
      <c r="M326" s="6" t="s">
        <v>1241</v>
      </c>
      <c r="N326" s="6" t="s">
        <v>1354</v>
      </c>
      <c r="O326" s="4">
        <v>426.74</v>
      </c>
      <c r="P326" s="4">
        <v>11.65</v>
      </c>
      <c r="Q326" s="4">
        <v>92.1</v>
      </c>
      <c r="R326" s="4">
        <v>3.95</v>
      </c>
      <c r="S326" s="4">
        <v>6.12</v>
      </c>
      <c r="T326">
        <f>LEFT(C326,5)-LEFT(D326,4)</f>
        <v>8.68000000000001</v>
      </c>
      <c r="U326" s="18">
        <v>75.8</v>
      </c>
      <c r="V326" s="18">
        <f>LEFT(D326,4)+LEFT(G326,5)</f>
        <v>163.05</v>
      </c>
      <c r="W326" s="18">
        <f>LEFT(G326,5)-LEFT(F326,5)</f>
        <v>18.85</v>
      </c>
      <c r="X326" s="18">
        <f>SUM(J326:K326)</f>
        <v>1073.4</v>
      </c>
      <c r="Y326" s="18">
        <f>AVERAGE(X315:X326)</f>
        <v>1018.58333333333</v>
      </c>
      <c r="Z326" s="18">
        <f>AVERAGE(W315:W317)</f>
        <v>18.3</v>
      </c>
      <c r="AA326">
        <f>(SUM(U315:U326)-SUM(U321:U323))/9</f>
        <v>76.8555555555556</v>
      </c>
      <c r="AB326">
        <f>AVERAGE(T315:T326)</f>
        <v>6.28833333333333</v>
      </c>
      <c r="AC326">
        <f>(SUM(T315:T326)-T321)/11</f>
        <v>7.02090909090909</v>
      </c>
      <c r="AD326">
        <f>AVERAGE(T315:T317)</f>
        <v>10.9466666666667</v>
      </c>
      <c r="AE326">
        <f>AVERAGE(V315:V326)</f>
        <v>159.595</v>
      </c>
    </row>
  </sheetData>
  <mergeCells count="1">
    <mergeCell ref="R1:S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opLeftCell="B1" workbookViewId="0">
      <selection activeCell="B1" sqref="B1:E14"/>
    </sheetView>
  </sheetViews>
  <sheetFormatPr defaultColWidth="9" defaultRowHeight="13.5" outlineLevelCol="5"/>
  <cols>
    <col min="2" max="3" width="19.25" customWidth="1"/>
    <col min="4" max="5" width="22.75" customWidth="1"/>
    <col min="6" max="6" width="16" customWidth="1"/>
  </cols>
  <sheetData>
    <row r="1" ht="68.25" spans="1:6">
      <c r="A1" s="6"/>
      <c r="B1" s="12" t="s">
        <v>2125</v>
      </c>
      <c r="C1" s="12"/>
      <c r="D1" s="12"/>
      <c r="E1" s="12"/>
      <c r="F1" s="6"/>
    </row>
    <row r="2" ht="15.75" spans="1:6">
      <c r="A2" s="3"/>
      <c r="B2" s="6" t="s">
        <v>2126</v>
      </c>
      <c r="C2" s="6" t="s">
        <v>2127</v>
      </c>
      <c r="D2" s="6" t="s">
        <v>2128</v>
      </c>
      <c r="E2" s="6" t="s">
        <v>2129</v>
      </c>
      <c r="F2" s="4"/>
    </row>
    <row r="3" ht="42.75" spans="1:6">
      <c r="A3" s="3"/>
      <c r="B3" s="15">
        <v>0</v>
      </c>
      <c r="C3" s="6">
        <v>9.72</v>
      </c>
      <c r="D3" s="4">
        <v>2.25</v>
      </c>
      <c r="E3" s="6" t="s">
        <v>2130</v>
      </c>
      <c r="F3" s="4"/>
    </row>
    <row r="4" ht="27.75" spans="1:6">
      <c r="A4" s="3"/>
      <c r="B4" s="15">
        <v>0.0833333333333333</v>
      </c>
      <c r="C4" s="4">
        <v>9.55</v>
      </c>
      <c r="D4" s="4">
        <v>2.15</v>
      </c>
      <c r="E4" s="4" t="s">
        <v>2131</v>
      </c>
      <c r="F4" s="4"/>
    </row>
    <row r="5" ht="27.75" spans="1:6">
      <c r="A5" s="3"/>
      <c r="B5" s="15">
        <v>0.166666666666667</v>
      </c>
      <c r="C5" s="4">
        <v>9.15</v>
      </c>
      <c r="D5" s="4">
        <v>2.1</v>
      </c>
      <c r="E5" s="4" t="s">
        <v>2132</v>
      </c>
      <c r="F5" s="4"/>
    </row>
    <row r="6" ht="41.25" spans="1:6">
      <c r="A6" s="3"/>
      <c r="B6" s="15">
        <v>0.25</v>
      </c>
      <c r="C6" s="4">
        <v>8.25</v>
      </c>
      <c r="D6" s="4">
        <v>2.45</v>
      </c>
      <c r="E6" s="6" t="s">
        <v>2133</v>
      </c>
      <c r="F6" s="4"/>
    </row>
    <row r="7" ht="55.5" spans="1:6">
      <c r="A7" s="3"/>
      <c r="B7" s="15">
        <v>0.333333333333333</v>
      </c>
      <c r="C7" s="4">
        <v>6.82</v>
      </c>
      <c r="D7" s="4">
        <v>3.85</v>
      </c>
      <c r="E7" s="6" t="s">
        <v>2134</v>
      </c>
      <c r="F7" s="4"/>
    </row>
    <row r="8" ht="42.75" spans="1:6">
      <c r="A8" s="3"/>
      <c r="B8" s="15">
        <v>0.395833333333333</v>
      </c>
      <c r="C8" s="6">
        <v>5.95</v>
      </c>
      <c r="D8" s="6">
        <v>4.85</v>
      </c>
      <c r="E8" s="6" t="s">
        <v>2135</v>
      </c>
      <c r="F8" s="4"/>
    </row>
    <row r="9" ht="41.25" spans="1:6">
      <c r="A9" s="3"/>
      <c r="B9" s="15">
        <v>0.5</v>
      </c>
      <c r="C9" s="6">
        <v>5.32</v>
      </c>
      <c r="D9" s="6">
        <v>6.85</v>
      </c>
      <c r="E9" s="6" t="s">
        <v>2136</v>
      </c>
      <c r="F9" s="4"/>
    </row>
    <row r="10" ht="29.25" spans="1:6">
      <c r="A10" s="3"/>
      <c r="B10" s="15">
        <v>0.583333333333333</v>
      </c>
      <c r="C10" s="4">
        <v>5.25</v>
      </c>
      <c r="D10" s="4">
        <v>7.12</v>
      </c>
      <c r="E10" s="4" t="s">
        <v>2137</v>
      </c>
      <c r="F10" s="4"/>
    </row>
    <row r="11" ht="27.75" spans="1:6">
      <c r="A11" s="3"/>
      <c r="B11" s="15">
        <v>0.666666666666667</v>
      </c>
      <c r="C11" s="4">
        <v>5.58</v>
      </c>
      <c r="D11" s="4">
        <v>6.55</v>
      </c>
      <c r="E11" s="4" t="s">
        <v>2138</v>
      </c>
      <c r="F11" s="6"/>
    </row>
    <row r="12" ht="42" spans="1:6">
      <c r="A12" s="3"/>
      <c r="B12" s="15">
        <v>0.75</v>
      </c>
      <c r="C12" s="4">
        <v>6.42</v>
      </c>
      <c r="D12" s="4">
        <v>4.82</v>
      </c>
      <c r="E12" s="6" t="s">
        <v>2139</v>
      </c>
      <c r="F12" s="4"/>
    </row>
    <row r="13" ht="27.75" spans="1:6">
      <c r="A13" s="3"/>
      <c r="B13" s="15">
        <v>0.833333333333333</v>
      </c>
      <c r="C13" s="4">
        <v>7.85</v>
      </c>
      <c r="D13" s="4">
        <v>3.25</v>
      </c>
      <c r="E13" s="4" t="s">
        <v>2140</v>
      </c>
      <c r="F13" s="4"/>
    </row>
    <row r="14" ht="27.75" spans="1:6">
      <c r="B14" s="15">
        <v>0.916666666666667</v>
      </c>
      <c r="C14" s="4">
        <v>8.95</v>
      </c>
      <c r="D14" s="4">
        <v>2.65</v>
      </c>
      <c r="E14" s="4" t="s">
        <v>2141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14"/>
  <sheetViews>
    <sheetView zoomScale="85" zoomScaleNormal="85" topLeftCell="A10" workbookViewId="0">
      <pane xSplit="1" topLeftCell="JY1" activePane="topRight" state="frozen"/>
      <selection/>
      <selection pane="topRight" activeCell="A7" sqref="A7:KO8"/>
    </sheetView>
  </sheetViews>
  <sheetFormatPr defaultColWidth="9" defaultRowHeight="13.5"/>
  <cols>
    <col min="1" max="1" width="20.375" customWidth="1"/>
  </cols>
  <sheetData>
    <row r="1" s="7" customFormat="1" spans="1:301">
      <c r="A1" s="8" t="s">
        <v>2142</v>
      </c>
      <c r="B1" s="9" t="s">
        <v>2143</v>
      </c>
      <c r="C1" s="9" t="s">
        <v>2144</v>
      </c>
      <c r="D1" s="9" t="s">
        <v>2145</v>
      </c>
      <c r="E1" s="9" t="s">
        <v>2146</v>
      </c>
      <c r="F1" s="9" t="s">
        <v>2147</v>
      </c>
      <c r="G1" s="9" t="s">
        <v>2148</v>
      </c>
      <c r="H1" s="9" t="s">
        <v>2149</v>
      </c>
      <c r="I1" s="9" t="s">
        <v>2150</v>
      </c>
      <c r="J1" s="9" t="s">
        <v>2151</v>
      </c>
      <c r="K1" s="9" t="s">
        <v>2152</v>
      </c>
      <c r="L1" s="9" t="s">
        <v>2153</v>
      </c>
      <c r="M1" s="9" t="s">
        <v>2154</v>
      </c>
      <c r="N1" s="9" t="s">
        <v>2155</v>
      </c>
      <c r="O1" s="9" t="s">
        <v>2156</v>
      </c>
      <c r="P1" s="9" t="s">
        <v>2157</v>
      </c>
      <c r="Q1" s="9" t="s">
        <v>2158</v>
      </c>
      <c r="R1" s="9" t="s">
        <v>2159</v>
      </c>
      <c r="S1" s="9" t="s">
        <v>2160</v>
      </c>
      <c r="T1" s="9" t="s">
        <v>2161</v>
      </c>
      <c r="U1" s="9" t="s">
        <v>2162</v>
      </c>
      <c r="V1" s="9" t="s">
        <v>2163</v>
      </c>
      <c r="W1" s="9" t="s">
        <v>2164</v>
      </c>
      <c r="X1" s="9" t="s">
        <v>2165</v>
      </c>
      <c r="Y1" s="9" t="s">
        <v>2166</v>
      </c>
      <c r="Z1" s="9" t="s">
        <v>2167</v>
      </c>
      <c r="AA1" s="9" t="s">
        <v>2168</v>
      </c>
      <c r="AB1" s="9" t="s">
        <v>2169</v>
      </c>
      <c r="AC1" s="9" t="s">
        <v>2170</v>
      </c>
      <c r="AD1" s="9" t="s">
        <v>2171</v>
      </c>
      <c r="AE1" s="9" t="s">
        <v>2172</v>
      </c>
      <c r="AF1" s="9" t="s">
        <v>2173</v>
      </c>
      <c r="AG1" s="9" t="s">
        <v>2174</v>
      </c>
      <c r="AH1" s="9" t="s">
        <v>2175</v>
      </c>
      <c r="AI1" s="9" t="s">
        <v>2176</v>
      </c>
      <c r="AJ1" s="9" t="s">
        <v>2177</v>
      </c>
      <c r="AK1" s="9" t="s">
        <v>2178</v>
      </c>
      <c r="AL1" s="9" t="s">
        <v>2179</v>
      </c>
      <c r="AM1" s="9" t="s">
        <v>2180</v>
      </c>
      <c r="AN1" s="9" t="s">
        <v>2181</v>
      </c>
      <c r="AO1" s="9" t="s">
        <v>2182</v>
      </c>
      <c r="AP1" s="9" t="s">
        <v>2183</v>
      </c>
      <c r="AQ1" s="9" t="s">
        <v>2184</v>
      </c>
      <c r="AR1" s="9" t="s">
        <v>2185</v>
      </c>
      <c r="AS1" s="9" t="s">
        <v>2186</v>
      </c>
      <c r="AT1" s="9" t="s">
        <v>2187</v>
      </c>
      <c r="AU1" s="9" t="s">
        <v>2188</v>
      </c>
      <c r="AV1" s="9" t="s">
        <v>2189</v>
      </c>
      <c r="AW1" s="9" t="s">
        <v>2190</v>
      </c>
      <c r="AX1" s="9" t="s">
        <v>2191</v>
      </c>
      <c r="AY1" s="9" t="s">
        <v>2192</v>
      </c>
      <c r="AZ1" s="9" t="s">
        <v>2193</v>
      </c>
      <c r="BA1" s="9" t="s">
        <v>2194</v>
      </c>
      <c r="BB1" s="9" t="s">
        <v>2195</v>
      </c>
      <c r="BC1" s="9" t="s">
        <v>2196</v>
      </c>
      <c r="BD1" s="9" t="s">
        <v>2197</v>
      </c>
      <c r="BE1" s="9" t="s">
        <v>2198</v>
      </c>
      <c r="BF1" s="9" t="s">
        <v>2199</v>
      </c>
      <c r="BG1" s="9" t="s">
        <v>2200</v>
      </c>
      <c r="BH1" s="9" t="s">
        <v>2201</v>
      </c>
      <c r="BI1" s="9" t="s">
        <v>2202</v>
      </c>
      <c r="BJ1" s="9" t="s">
        <v>2203</v>
      </c>
      <c r="BK1" s="9" t="s">
        <v>2204</v>
      </c>
      <c r="BL1" s="9" t="s">
        <v>2205</v>
      </c>
      <c r="BM1" s="9" t="s">
        <v>2206</v>
      </c>
      <c r="BN1" s="9" t="s">
        <v>2207</v>
      </c>
      <c r="BO1" s="9" t="s">
        <v>2208</v>
      </c>
      <c r="BP1" s="9" t="s">
        <v>2209</v>
      </c>
      <c r="BQ1" s="9" t="s">
        <v>2210</v>
      </c>
      <c r="BR1" s="9" t="s">
        <v>2211</v>
      </c>
      <c r="BS1" s="9" t="s">
        <v>2212</v>
      </c>
      <c r="BT1" s="9" t="s">
        <v>2213</v>
      </c>
      <c r="BU1" s="9" t="s">
        <v>2214</v>
      </c>
      <c r="BV1" s="9" t="s">
        <v>2215</v>
      </c>
      <c r="BW1" s="9" t="s">
        <v>2216</v>
      </c>
      <c r="BX1" s="9" t="s">
        <v>2217</v>
      </c>
      <c r="BY1" s="9" t="s">
        <v>2218</v>
      </c>
      <c r="BZ1" s="9" t="s">
        <v>2219</v>
      </c>
      <c r="CA1" s="9" t="s">
        <v>2220</v>
      </c>
      <c r="CB1" s="9" t="s">
        <v>2221</v>
      </c>
      <c r="CC1" s="9" t="s">
        <v>2222</v>
      </c>
      <c r="CD1" s="9" t="s">
        <v>2223</v>
      </c>
      <c r="CE1" s="9" t="s">
        <v>2224</v>
      </c>
      <c r="CF1" s="9" t="s">
        <v>2225</v>
      </c>
      <c r="CG1" s="9" t="s">
        <v>2226</v>
      </c>
      <c r="CH1" s="9" t="s">
        <v>2227</v>
      </c>
      <c r="CI1" s="9" t="s">
        <v>2228</v>
      </c>
      <c r="CJ1" s="9" t="s">
        <v>2229</v>
      </c>
      <c r="CK1" s="9" t="s">
        <v>2230</v>
      </c>
      <c r="CL1" s="9" t="s">
        <v>2231</v>
      </c>
      <c r="CM1" s="9" t="s">
        <v>2232</v>
      </c>
      <c r="CN1" s="9" t="s">
        <v>2233</v>
      </c>
      <c r="CO1" s="9" t="s">
        <v>2234</v>
      </c>
      <c r="CP1" s="9" t="s">
        <v>2235</v>
      </c>
      <c r="CQ1" s="9" t="s">
        <v>2236</v>
      </c>
      <c r="CR1" s="9" t="s">
        <v>2237</v>
      </c>
      <c r="CS1" s="9" t="s">
        <v>2238</v>
      </c>
      <c r="CT1" s="9" t="s">
        <v>2239</v>
      </c>
      <c r="CU1" s="9" t="s">
        <v>2240</v>
      </c>
      <c r="CV1" s="9" t="s">
        <v>2241</v>
      </c>
      <c r="CW1" s="9" t="s">
        <v>2242</v>
      </c>
      <c r="CX1" s="9" t="s">
        <v>2243</v>
      </c>
      <c r="CY1" s="9" t="s">
        <v>2244</v>
      </c>
      <c r="CZ1" s="9" t="s">
        <v>2245</v>
      </c>
      <c r="DA1" s="9" t="s">
        <v>2246</v>
      </c>
      <c r="DB1" s="9" t="s">
        <v>2247</v>
      </c>
      <c r="DC1" s="9" t="s">
        <v>2248</v>
      </c>
      <c r="DD1" s="9" t="s">
        <v>2249</v>
      </c>
      <c r="DE1" s="9" t="s">
        <v>2250</v>
      </c>
      <c r="DF1" s="9" t="s">
        <v>2251</v>
      </c>
      <c r="DG1" s="9" t="s">
        <v>2252</v>
      </c>
      <c r="DH1" s="9" t="s">
        <v>2253</v>
      </c>
      <c r="DI1" s="9" t="s">
        <v>2254</v>
      </c>
      <c r="DJ1" s="9" t="s">
        <v>2255</v>
      </c>
      <c r="DK1" s="9" t="s">
        <v>2256</v>
      </c>
      <c r="DL1" s="9" t="s">
        <v>2257</v>
      </c>
      <c r="DM1" s="9" t="s">
        <v>2258</v>
      </c>
      <c r="DN1" s="9" t="s">
        <v>2259</v>
      </c>
      <c r="DO1" s="9" t="s">
        <v>2260</v>
      </c>
      <c r="DP1" s="9" t="s">
        <v>2261</v>
      </c>
      <c r="DQ1" s="9" t="s">
        <v>2262</v>
      </c>
      <c r="DR1" s="9" t="s">
        <v>2263</v>
      </c>
      <c r="DS1" s="9" t="s">
        <v>2264</v>
      </c>
      <c r="DT1" s="9" t="s">
        <v>2265</v>
      </c>
      <c r="DU1" s="9" t="s">
        <v>2266</v>
      </c>
      <c r="DV1" s="9" t="s">
        <v>2267</v>
      </c>
      <c r="DW1" s="9" t="s">
        <v>2268</v>
      </c>
      <c r="DX1" s="9" t="s">
        <v>2269</v>
      </c>
      <c r="DY1" s="9" t="s">
        <v>2270</v>
      </c>
      <c r="DZ1" s="9" t="s">
        <v>2271</v>
      </c>
      <c r="EA1" s="9" t="s">
        <v>2272</v>
      </c>
      <c r="EB1" s="9" t="s">
        <v>2273</v>
      </c>
      <c r="EC1" s="9" t="s">
        <v>2274</v>
      </c>
      <c r="ED1" s="9" t="s">
        <v>2275</v>
      </c>
      <c r="EE1" s="9" t="s">
        <v>2276</v>
      </c>
      <c r="EF1" s="9" t="s">
        <v>2277</v>
      </c>
      <c r="EG1" s="9" t="s">
        <v>2278</v>
      </c>
      <c r="EH1" s="9" t="s">
        <v>2279</v>
      </c>
      <c r="EI1" s="9" t="s">
        <v>2280</v>
      </c>
      <c r="EJ1" s="9" t="s">
        <v>2281</v>
      </c>
      <c r="EK1" s="9" t="s">
        <v>2282</v>
      </c>
      <c r="EL1" s="9" t="s">
        <v>2283</v>
      </c>
      <c r="EM1" s="9" t="s">
        <v>2284</v>
      </c>
      <c r="EN1" s="9" t="s">
        <v>2285</v>
      </c>
      <c r="EO1" s="9" t="s">
        <v>2286</v>
      </c>
      <c r="EP1" s="9" t="s">
        <v>2287</v>
      </c>
      <c r="EQ1" s="9" t="s">
        <v>2288</v>
      </c>
      <c r="ER1" s="9" t="s">
        <v>2289</v>
      </c>
      <c r="ES1" s="9" t="s">
        <v>2290</v>
      </c>
      <c r="ET1" s="9" t="s">
        <v>2291</v>
      </c>
      <c r="EU1" s="9" t="s">
        <v>2292</v>
      </c>
      <c r="EV1" s="9" t="s">
        <v>2293</v>
      </c>
      <c r="EW1" s="9" t="s">
        <v>2294</v>
      </c>
      <c r="EX1" s="9" t="s">
        <v>2295</v>
      </c>
      <c r="EY1" s="9" t="s">
        <v>2296</v>
      </c>
      <c r="EZ1" s="9" t="s">
        <v>2297</v>
      </c>
      <c r="FA1" s="9" t="s">
        <v>2298</v>
      </c>
      <c r="FB1" s="9" t="s">
        <v>2299</v>
      </c>
      <c r="FC1" s="9" t="s">
        <v>2300</v>
      </c>
      <c r="FD1" s="9" t="s">
        <v>2301</v>
      </c>
      <c r="FE1" s="9" t="s">
        <v>2302</v>
      </c>
      <c r="FF1" s="9" t="s">
        <v>2303</v>
      </c>
      <c r="FG1" s="9" t="s">
        <v>2304</v>
      </c>
      <c r="FH1" s="9" t="s">
        <v>2305</v>
      </c>
      <c r="FI1" s="9" t="s">
        <v>2306</v>
      </c>
      <c r="FJ1" s="9" t="s">
        <v>2307</v>
      </c>
      <c r="FK1" s="9" t="s">
        <v>2308</v>
      </c>
      <c r="FL1" s="9" t="s">
        <v>2309</v>
      </c>
      <c r="FM1" s="9" t="s">
        <v>2310</v>
      </c>
      <c r="FN1" s="9" t="s">
        <v>2311</v>
      </c>
      <c r="FO1" s="9" t="s">
        <v>2312</v>
      </c>
      <c r="FP1" s="9" t="s">
        <v>2313</v>
      </c>
      <c r="FQ1" s="9" t="s">
        <v>2314</v>
      </c>
      <c r="FR1" s="9" t="s">
        <v>2315</v>
      </c>
      <c r="FS1" s="9" t="s">
        <v>2316</v>
      </c>
      <c r="FT1" s="9" t="s">
        <v>2317</v>
      </c>
      <c r="FU1" s="9" t="s">
        <v>2318</v>
      </c>
      <c r="FV1" s="9" t="s">
        <v>2319</v>
      </c>
      <c r="FW1" s="9" t="s">
        <v>2320</v>
      </c>
      <c r="FX1" s="9" t="s">
        <v>2321</v>
      </c>
      <c r="FY1" s="9" t="s">
        <v>2322</v>
      </c>
      <c r="FZ1" s="9" t="s">
        <v>2323</v>
      </c>
      <c r="GA1" s="9" t="s">
        <v>2324</v>
      </c>
      <c r="GB1" s="9" t="s">
        <v>2325</v>
      </c>
      <c r="GC1" s="9" t="s">
        <v>2326</v>
      </c>
      <c r="GD1" s="9" t="s">
        <v>2327</v>
      </c>
      <c r="GE1" s="9" t="s">
        <v>2328</v>
      </c>
      <c r="GF1" s="9" t="s">
        <v>2329</v>
      </c>
      <c r="GG1" s="9" t="s">
        <v>2330</v>
      </c>
      <c r="GH1" s="9" t="s">
        <v>2331</v>
      </c>
      <c r="GI1" s="9" t="s">
        <v>2332</v>
      </c>
      <c r="GJ1" s="9" t="s">
        <v>2333</v>
      </c>
      <c r="GK1" s="9" t="s">
        <v>2334</v>
      </c>
      <c r="GL1" s="9" t="s">
        <v>2335</v>
      </c>
      <c r="GM1" s="9" t="s">
        <v>2336</v>
      </c>
      <c r="GN1" s="9" t="s">
        <v>2337</v>
      </c>
      <c r="GO1" s="9" t="s">
        <v>2338</v>
      </c>
      <c r="GP1" s="9" t="s">
        <v>2339</v>
      </c>
      <c r="GQ1" s="9" t="s">
        <v>2340</v>
      </c>
      <c r="GR1" s="9" t="s">
        <v>2341</v>
      </c>
      <c r="GS1" s="9" t="s">
        <v>2342</v>
      </c>
      <c r="GT1" s="9" t="s">
        <v>2343</v>
      </c>
      <c r="GU1" s="9" t="s">
        <v>2344</v>
      </c>
      <c r="GV1" s="9" t="s">
        <v>2345</v>
      </c>
      <c r="GW1" s="9" t="s">
        <v>2346</v>
      </c>
      <c r="GX1" s="9" t="s">
        <v>2347</v>
      </c>
      <c r="GY1" s="9" t="s">
        <v>2348</v>
      </c>
      <c r="GZ1" s="9" t="s">
        <v>2349</v>
      </c>
      <c r="HA1" s="9" t="s">
        <v>2350</v>
      </c>
      <c r="HB1" s="9" t="s">
        <v>2351</v>
      </c>
      <c r="HC1" s="9" t="s">
        <v>2352</v>
      </c>
      <c r="HD1" s="9" t="s">
        <v>2353</v>
      </c>
      <c r="HE1" s="9" t="s">
        <v>2354</v>
      </c>
      <c r="HF1" s="9" t="s">
        <v>2355</v>
      </c>
      <c r="HG1" s="9" t="s">
        <v>2356</v>
      </c>
      <c r="HH1" s="9" t="s">
        <v>2357</v>
      </c>
      <c r="HI1" s="9" t="s">
        <v>2358</v>
      </c>
      <c r="HJ1" s="9" t="s">
        <v>2359</v>
      </c>
      <c r="HK1" s="9" t="s">
        <v>2360</v>
      </c>
      <c r="HL1" s="9" t="s">
        <v>2361</v>
      </c>
      <c r="HM1" s="9" t="s">
        <v>2362</v>
      </c>
      <c r="HN1" s="9" t="s">
        <v>2363</v>
      </c>
      <c r="HO1" s="9" t="s">
        <v>2364</v>
      </c>
      <c r="HP1" s="9" t="s">
        <v>2365</v>
      </c>
      <c r="HQ1" s="9" t="s">
        <v>2366</v>
      </c>
      <c r="HR1" s="9" t="s">
        <v>2367</v>
      </c>
      <c r="HS1" s="9" t="s">
        <v>2368</v>
      </c>
      <c r="HT1" s="9" t="s">
        <v>2369</v>
      </c>
      <c r="HU1" s="9" t="s">
        <v>2370</v>
      </c>
      <c r="HV1" s="9" t="s">
        <v>2371</v>
      </c>
      <c r="HW1" s="9" t="s">
        <v>2372</v>
      </c>
      <c r="HX1" s="9" t="s">
        <v>2373</v>
      </c>
      <c r="HY1" s="9" t="s">
        <v>2374</v>
      </c>
      <c r="HZ1" s="9" t="s">
        <v>2375</v>
      </c>
      <c r="IA1" s="9" t="s">
        <v>2376</v>
      </c>
      <c r="IB1" s="9" t="s">
        <v>2377</v>
      </c>
      <c r="IC1" s="9" t="s">
        <v>2378</v>
      </c>
      <c r="ID1" s="9" t="s">
        <v>2379</v>
      </c>
      <c r="IE1" s="9" t="s">
        <v>2380</v>
      </c>
      <c r="IF1" s="9" t="s">
        <v>2381</v>
      </c>
      <c r="IG1" s="9" t="s">
        <v>2382</v>
      </c>
      <c r="IH1" s="9" t="s">
        <v>2383</v>
      </c>
      <c r="II1" s="9" t="s">
        <v>2384</v>
      </c>
      <c r="IJ1" s="9" t="s">
        <v>2385</v>
      </c>
      <c r="IK1" s="9" t="s">
        <v>2386</v>
      </c>
      <c r="IL1" s="9" t="s">
        <v>2387</v>
      </c>
      <c r="IM1" s="9" t="s">
        <v>2388</v>
      </c>
      <c r="IN1" s="9" t="s">
        <v>2389</v>
      </c>
      <c r="IO1" s="9" t="s">
        <v>2390</v>
      </c>
      <c r="IP1" s="9" t="s">
        <v>2391</v>
      </c>
      <c r="IQ1" s="9" t="s">
        <v>2392</v>
      </c>
      <c r="IR1" s="9" t="s">
        <v>2393</v>
      </c>
      <c r="IS1" s="9" t="s">
        <v>2394</v>
      </c>
      <c r="IT1" s="9" t="s">
        <v>2395</v>
      </c>
      <c r="IU1" s="9" t="s">
        <v>2396</v>
      </c>
      <c r="IV1" s="9" t="s">
        <v>2397</v>
      </c>
      <c r="IW1" s="9" t="s">
        <v>2398</v>
      </c>
      <c r="IX1" s="9" t="s">
        <v>2399</v>
      </c>
      <c r="IY1" s="9" t="s">
        <v>2400</v>
      </c>
      <c r="IZ1" s="9" t="s">
        <v>2401</v>
      </c>
      <c r="JA1" s="9" t="s">
        <v>2402</v>
      </c>
      <c r="JB1" s="9" t="s">
        <v>2403</v>
      </c>
      <c r="JC1" s="9" t="s">
        <v>2404</v>
      </c>
      <c r="JD1" s="9" t="s">
        <v>2405</v>
      </c>
      <c r="JE1" s="9" t="s">
        <v>2406</v>
      </c>
      <c r="JF1" s="9" t="s">
        <v>2407</v>
      </c>
      <c r="JG1" s="9" t="s">
        <v>2408</v>
      </c>
      <c r="JH1" s="9" t="s">
        <v>2409</v>
      </c>
      <c r="JI1" s="9" t="s">
        <v>2410</v>
      </c>
      <c r="JJ1" s="9" t="s">
        <v>2411</v>
      </c>
      <c r="JK1" s="9" t="s">
        <v>2412</v>
      </c>
      <c r="JL1" s="9" t="s">
        <v>2413</v>
      </c>
      <c r="JM1" s="9" t="s">
        <v>2414</v>
      </c>
      <c r="JN1" s="9" t="s">
        <v>2415</v>
      </c>
      <c r="JO1" s="9" t="s">
        <v>2416</v>
      </c>
      <c r="JP1" s="9" t="s">
        <v>2417</v>
      </c>
      <c r="JQ1" s="9" t="s">
        <v>2418</v>
      </c>
      <c r="JR1" s="9" t="s">
        <v>2419</v>
      </c>
      <c r="JS1" s="9" t="s">
        <v>2420</v>
      </c>
      <c r="JT1" s="9" t="s">
        <v>2421</v>
      </c>
      <c r="JU1" s="9" t="s">
        <v>2422</v>
      </c>
      <c r="JV1" s="9" t="s">
        <v>2423</v>
      </c>
      <c r="JW1" s="9" t="s">
        <v>2424</v>
      </c>
      <c r="JX1" s="9" t="s">
        <v>2425</v>
      </c>
      <c r="JY1" s="9" t="s">
        <v>2426</v>
      </c>
      <c r="JZ1" s="9" t="s">
        <v>2427</v>
      </c>
      <c r="KA1" s="9" t="s">
        <v>2428</v>
      </c>
      <c r="KB1" s="9" t="s">
        <v>2429</v>
      </c>
      <c r="KC1" s="9" t="s">
        <v>2430</v>
      </c>
      <c r="KD1" s="9" t="s">
        <v>2431</v>
      </c>
      <c r="KE1" s="9" t="s">
        <v>2432</v>
      </c>
      <c r="KF1" s="9" t="s">
        <v>2433</v>
      </c>
      <c r="KG1" s="9" t="s">
        <v>2434</v>
      </c>
      <c r="KH1" s="9" t="s">
        <v>2435</v>
      </c>
      <c r="KI1" s="9" t="s">
        <v>2436</v>
      </c>
      <c r="KJ1" s="9" t="s">
        <v>2437</v>
      </c>
      <c r="KK1" s="9" t="s">
        <v>2438</v>
      </c>
      <c r="KL1" s="9" t="s">
        <v>2439</v>
      </c>
      <c r="KM1" s="9" t="s">
        <v>2440</v>
      </c>
      <c r="KN1" s="9" t="s">
        <v>2441</v>
      </c>
      <c r="KO1" s="9" t="s">
        <v>2442</v>
      </c>
    </row>
    <row r="2" s="7" customFormat="1" spans="1:301">
      <c r="A2" s="9" t="s">
        <v>2443</v>
      </c>
      <c r="B2" s="9">
        <f t="shared" ref="B2:BM2" si="0">200-B14</f>
        <v>142.4</v>
      </c>
      <c r="C2" s="9">
        <f t="shared" si="0"/>
        <v>142.55</v>
      </c>
      <c r="D2" s="9">
        <f t="shared" si="0"/>
        <v>142.8</v>
      </c>
      <c r="E2" s="9">
        <f t="shared" si="0"/>
        <v>145.2</v>
      </c>
      <c r="F2" s="9">
        <f t="shared" si="0"/>
        <v>143.9</v>
      </c>
      <c r="G2" s="9">
        <f t="shared" si="0"/>
        <v>143.2</v>
      </c>
      <c r="H2" s="9">
        <f t="shared" si="0"/>
        <v>142.95</v>
      </c>
      <c r="I2" s="9">
        <f t="shared" si="0"/>
        <v>142.75</v>
      </c>
      <c r="J2" s="9">
        <f t="shared" si="0"/>
        <v>143.5</v>
      </c>
      <c r="K2" s="9">
        <f t="shared" si="0"/>
        <v>143.1</v>
      </c>
      <c r="L2" s="9">
        <f t="shared" si="0"/>
        <v>144.1</v>
      </c>
      <c r="M2" s="9">
        <f t="shared" si="0"/>
        <v>143.7</v>
      </c>
      <c r="N2" s="9">
        <f t="shared" si="0"/>
        <v>142.9</v>
      </c>
      <c r="O2" s="9">
        <f t="shared" si="0"/>
        <v>142.6</v>
      </c>
      <c r="P2" s="9">
        <f t="shared" si="0"/>
        <v>142.15</v>
      </c>
      <c r="Q2" s="9">
        <f t="shared" si="0"/>
        <v>141.9</v>
      </c>
      <c r="R2" s="9">
        <f t="shared" si="0"/>
        <v>142.35</v>
      </c>
      <c r="S2" s="9">
        <f t="shared" si="0"/>
        <v>142.1</v>
      </c>
      <c r="T2" s="9">
        <f t="shared" si="0"/>
        <v>144.2</v>
      </c>
      <c r="U2" s="9">
        <f t="shared" si="0"/>
        <v>142.8</v>
      </c>
      <c r="V2" s="9">
        <f t="shared" si="0"/>
        <v>141.6</v>
      </c>
      <c r="W2" s="9">
        <f t="shared" si="0"/>
        <v>141.1</v>
      </c>
      <c r="X2" s="9">
        <f t="shared" si="0"/>
        <v>140.7</v>
      </c>
      <c r="Y2" s="9">
        <f t="shared" si="0"/>
        <v>139.8</v>
      </c>
      <c r="Z2" s="9">
        <f t="shared" si="0"/>
        <v>139.55</v>
      </c>
      <c r="AA2" s="9">
        <f t="shared" si="0"/>
        <v>140.2</v>
      </c>
      <c r="AB2" s="9">
        <f t="shared" si="0"/>
        <v>139.8</v>
      </c>
      <c r="AC2" s="9">
        <f t="shared" si="0"/>
        <v>139.2</v>
      </c>
      <c r="AD2" s="9">
        <f t="shared" si="0"/>
        <v>138.8</v>
      </c>
      <c r="AE2" s="9">
        <f t="shared" si="0"/>
        <v>138.5</v>
      </c>
      <c r="AF2" s="9">
        <f t="shared" si="0"/>
        <v>138.2</v>
      </c>
      <c r="AG2" s="9">
        <f t="shared" si="0"/>
        <v>138.05</v>
      </c>
      <c r="AH2" s="9">
        <f t="shared" si="0"/>
        <v>137.6</v>
      </c>
      <c r="AI2" s="9">
        <f t="shared" si="0"/>
        <v>137.2</v>
      </c>
      <c r="AJ2" s="9">
        <f t="shared" si="0"/>
        <v>141.5</v>
      </c>
      <c r="AK2" s="9">
        <f t="shared" si="0"/>
        <v>138.2</v>
      </c>
      <c r="AL2" s="9">
        <f t="shared" si="0"/>
        <v>137.75</v>
      </c>
      <c r="AM2" s="9">
        <f t="shared" si="0"/>
        <v>138.1</v>
      </c>
      <c r="AN2" s="9">
        <f t="shared" si="0"/>
        <v>137.65</v>
      </c>
      <c r="AO2" s="9">
        <f t="shared" si="0"/>
        <v>137.9</v>
      </c>
      <c r="AP2" s="9">
        <f t="shared" si="0"/>
        <v>137.5</v>
      </c>
      <c r="AQ2" s="9">
        <f t="shared" si="0"/>
        <v>137.3</v>
      </c>
      <c r="AR2" s="9">
        <f t="shared" si="0"/>
        <v>137.55</v>
      </c>
      <c r="AS2" s="9">
        <f t="shared" si="0"/>
        <v>137.15</v>
      </c>
      <c r="AT2" s="9">
        <f t="shared" si="0"/>
        <v>136.9</v>
      </c>
      <c r="AU2" s="9">
        <f t="shared" si="0"/>
        <v>137.05</v>
      </c>
      <c r="AV2" s="9">
        <f t="shared" si="0"/>
        <v>138.6</v>
      </c>
      <c r="AW2" s="9">
        <f t="shared" si="0"/>
        <v>137.15</v>
      </c>
      <c r="AX2" s="9">
        <f t="shared" si="0"/>
        <v>136.8</v>
      </c>
      <c r="AY2" s="9">
        <f t="shared" si="0"/>
        <v>140.5</v>
      </c>
      <c r="AZ2" s="9">
        <f t="shared" si="0"/>
        <v>138.2</v>
      </c>
      <c r="BA2" s="9">
        <f t="shared" si="0"/>
        <v>137.5</v>
      </c>
      <c r="BB2" s="9">
        <f t="shared" si="0"/>
        <v>137.1</v>
      </c>
      <c r="BC2" s="9">
        <f t="shared" si="0"/>
        <v>136.9</v>
      </c>
      <c r="BD2" s="9">
        <f t="shared" si="0"/>
        <v>136.65</v>
      </c>
      <c r="BE2" s="9">
        <f t="shared" si="0"/>
        <v>136.5</v>
      </c>
      <c r="BF2" s="9">
        <f t="shared" si="0"/>
        <v>137.9</v>
      </c>
      <c r="BG2" s="9">
        <f t="shared" si="0"/>
        <v>136.2</v>
      </c>
      <c r="BH2" s="9">
        <f t="shared" si="0"/>
        <v>135.8</v>
      </c>
      <c r="BI2" s="9">
        <f t="shared" si="0"/>
        <v>135.5</v>
      </c>
      <c r="BJ2" s="9">
        <f t="shared" si="0"/>
        <v>135.35</v>
      </c>
      <c r="BK2" s="9">
        <f t="shared" si="0"/>
        <v>135.2</v>
      </c>
      <c r="BL2" s="9">
        <f t="shared" si="0"/>
        <v>134.95</v>
      </c>
      <c r="BM2" s="9">
        <f t="shared" si="0"/>
        <v>134.75</v>
      </c>
      <c r="BN2" s="9">
        <f t="shared" ref="BN2:DY2" si="1">200-BN14</f>
        <v>134.6</v>
      </c>
      <c r="BO2" s="9">
        <f t="shared" si="1"/>
        <v>134.4</v>
      </c>
      <c r="BP2" s="9">
        <f t="shared" si="1"/>
        <v>134.15</v>
      </c>
      <c r="BQ2" s="9">
        <f t="shared" si="1"/>
        <v>134</v>
      </c>
      <c r="BR2" s="9">
        <f t="shared" si="1"/>
        <v>133.75</v>
      </c>
      <c r="BS2" s="9">
        <f t="shared" si="1"/>
        <v>133.5</v>
      </c>
      <c r="BT2" s="9">
        <f t="shared" si="1"/>
        <v>133.25</v>
      </c>
      <c r="BU2" s="9">
        <f t="shared" si="1"/>
        <v>134.9</v>
      </c>
      <c r="BV2" s="9">
        <f t="shared" si="1"/>
        <v>134.6</v>
      </c>
      <c r="BW2" s="9">
        <f t="shared" si="1"/>
        <v>134.35</v>
      </c>
      <c r="BX2" s="9">
        <f t="shared" si="1"/>
        <v>134.1</v>
      </c>
      <c r="BY2" s="9">
        <f t="shared" si="1"/>
        <v>133.9</v>
      </c>
      <c r="BZ2" s="9">
        <f t="shared" si="1"/>
        <v>133.65</v>
      </c>
      <c r="CA2" s="9">
        <f t="shared" si="1"/>
        <v>133.45</v>
      </c>
      <c r="CB2" s="9">
        <f t="shared" si="1"/>
        <v>133.2</v>
      </c>
      <c r="CC2" s="9">
        <f t="shared" si="1"/>
        <v>133.05</v>
      </c>
      <c r="CD2" s="9">
        <f t="shared" si="1"/>
        <v>132.9</v>
      </c>
      <c r="CE2" s="9">
        <f t="shared" si="1"/>
        <v>132.75</v>
      </c>
      <c r="CF2" s="9">
        <f t="shared" si="1"/>
        <v>132.6</v>
      </c>
      <c r="CG2" s="9">
        <f t="shared" si="1"/>
        <v>132.4</v>
      </c>
      <c r="CH2" s="9">
        <f t="shared" si="1"/>
        <v>132.25</v>
      </c>
      <c r="CI2" s="9">
        <f t="shared" si="1"/>
        <v>132.15</v>
      </c>
      <c r="CJ2" s="9">
        <f t="shared" si="1"/>
        <v>132.1</v>
      </c>
      <c r="CK2" s="9">
        <f t="shared" si="1"/>
        <v>132.2</v>
      </c>
      <c r="CL2" s="9">
        <f t="shared" si="1"/>
        <v>131.95</v>
      </c>
      <c r="CM2" s="9">
        <f t="shared" si="1"/>
        <v>131.85</v>
      </c>
      <c r="CN2" s="9">
        <f t="shared" si="1"/>
        <v>131.75</v>
      </c>
      <c r="CO2" s="9">
        <f t="shared" si="1"/>
        <v>131.6</v>
      </c>
      <c r="CP2" s="9">
        <f t="shared" si="1"/>
        <v>131.65</v>
      </c>
      <c r="CQ2" s="9">
        <f t="shared" si="1"/>
        <v>131.4</v>
      </c>
      <c r="CR2" s="9">
        <f t="shared" si="1"/>
        <v>131.2</v>
      </c>
      <c r="CS2" s="9">
        <f t="shared" si="1"/>
        <v>131</v>
      </c>
      <c r="CT2" s="9">
        <f t="shared" si="1"/>
        <v>130.8</v>
      </c>
      <c r="CU2" s="9">
        <f t="shared" si="1"/>
        <v>130.65</v>
      </c>
      <c r="CV2" s="9">
        <f t="shared" si="1"/>
        <v>130.5</v>
      </c>
      <c r="CW2" s="9">
        <f t="shared" si="1"/>
        <v>130.55</v>
      </c>
      <c r="CX2" s="9">
        <f t="shared" si="1"/>
        <v>130.4</v>
      </c>
      <c r="CY2" s="9">
        <f t="shared" si="1"/>
        <v>130.15</v>
      </c>
      <c r="CZ2" s="9">
        <f t="shared" si="1"/>
        <v>129.85</v>
      </c>
      <c r="DA2" s="9">
        <f t="shared" si="1"/>
        <v>130.05</v>
      </c>
      <c r="DB2" s="9">
        <f t="shared" si="1"/>
        <v>129.8</v>
      </c>
      <c r="DC2" s="9">
        <f t="shared" si="1"/>
        <v>129.95</v>
      </c>
      <c r="DD2" s="9">
        <f t="shared" si="1"/>
        <v>130.9</v>
      </c>
      <c r="DE2" s="9">
        <f t="shared" si="1"/>
        <v>131.6</v>
      </c>
      <c r="DF2" s="9">
        <f t="shared" si="1"/>
        <v>132.1</v>
      </c>
      <c r="DG2" s="9">
        <f t="shared" si="1"/>
        <v>132.5</v>
      </c>
      <c r="DH2" s="9">
        <f t="shared" si="1"/>
        <v>132.95</v>
      </c>
      <c r="DI2" s="9">
        <f t="shared" si="1"/>
        <v>133.6</v>
      </c>
      <c r="DJ2" s="9">
        <f t="shared" si="1"/>
        <v>134.1</v>
      </c>
      <c r="DK2" s="9">
        <f t="shared" si="1"/>
        <v>134.65</v>
      </c>
      <c r="DL2" s="9">
        <f t="shared" si="1"/>
        <v>134.9</v>
      </c>
      <c r="DM2" s="9">
        <f t="shared" si="1"/>
        <v>135.8</v>
      </c>
      <c r="DN2" s="9">
        <f t="shared" si="1"/>
        <v>135.35</v>
      </c>
      <c r="DO2" s="9">
        <f t="shared" si="1"/>
        <v>135.1</v>
      </c>
      <c r="DP2" s="9">
        <f t="shared" si="1"/>
        <v>135.55</v>
      </c>
      <c r="DQ2" s="9">
        <f t="shared" si="1"/>
        <v>136.2</v>
      </c>
      <c r="DR2" s="9">
        <f t="shared" si="1"/>
        <v>136.4</v>
      </c>
      <c r="DS2" s="9">
        <f t="shared" si="1"/>
        <v>136.85</v>
      </c>
      <c r="DT2" s="9">
        <f t="shared" si="1"/>
        <v>139.6</v>
      </c>
      <c r="DU2" s="9">
        <f t="shared" si="1"/>
        <v>138.8</v>
      </c>
      <c r="DV2" s="9">
        <f t="shared" si="1"/>
        <v>138.2</v>
      </c>
      <c r="DW2" s="9">
        <f t="shared" si="1"/>
        <v>137.9</v>
      </c>
      <c r="DX2" s="9">
        <f t="shared" si="1"/>
        <v>138.05</v>
      </c>
      <c r="DY2" s="9">
        <f t="shared" si="1"/>
        <v>138.3</v>
      </c>
      <c r="DZ2" s="9">
        <f t="shared" ref="DZ2:GK2" si="2">200-DZ14</f>
        <v>138.85</v>
      </c>
      <c r="EA2" s="9">
        <f t="shared" si="2"/>
        <v>139.15</v>
      </c>
      <c r="EB2" s="9">
        <f t="shared" si="2"/>
        <v>138.7</v>
      </c>
      <c r="EC2" s="9">
        <f t="shared" si="2"/>
        <v>139.1</v>
      </c>
      <c r="ED2" s="9">
        <f t="shared" si="2"/>
        <v>138.9</v>
      </c>
      <c r="EE2" s="9">
        <f t="shared" si="2"/>
        <v>139.4</v>
      </c>
      <c r="EF2" s="9">
        <f t="shared" si="2"/>
        <v>142.2</v>
      </c>
      <c r="EG2" s="9">
        <f t="shared" si="2"/>
        <v>139.85</v>
      </c>
      <c r="EH2" s="9">
        <f t="shared" si="2"/>
        <v>139.6</v>
      </c>
      <c r="EI2" s="9">
        <f t="shared" si="2"/>
        <v>139.15</v>
      </c>
      <c r="EJ2" s="9">
        <f t="shared" si="2"/>
        <v>138.8</v>
      </c>
      <c r="EK2" s="9">
        <f t="shared" si="2"/>
        <v>140.6</v>
      </c>
      <c r="EL2" s="9">
        <f t="shared" si="2"/>
        <v>138.5</v>
      </c>
      <c r="EM2" s="9">
        <f t="shared" si="2"/>
        <v>138.15</v>
      </c>
      <c r="EN2" s="9">
        <f t="shared" si="2"/>
        <v>137.7</v>
      </c>
      <c r="EO2" s="9">
        <f t="shared" si="2"/>
        <v>137.4</v>
      </c>
      <c r="EP2" s="9">
        <f t="shared" si="2"/>
        <v>137.6</v>
      </c>
      <c r="EQ2" s="9">
        <f t="shared" si="2"/>
        <v>137.95</v>
      </c>
      <c r="ER2" s="9">
        <f t="shared" si="2"/>
        <v>138.2</v>
      </c>
      <c r="ES2" s="9">
        <f t="shared" si="2"/>
        <v>137.8</v>
      </c>
      <c r="ET2" s="9">
        <f t="shared" si="2"/>
        <v>139.6</v>
      </c>
      <c r="EU2" s="9">
        <f t="shared" si="2"/>
        <v>138.9</v>
      </c>
      <c r="EV2" s="9">
        <f t="shared" si="2"/>
        <v>138.65</v>
      </c>
      <c r="EW2" s="9">
        <f t="shared" si="2"/>
        <v>138.4</v>
      </c>
      <c r="EX2" s="9">
        <f t="shared" si="2"/>
        <v>138.1</v>
      </c>
      <c r="EY2" s="9">
        <f t="shared" si="2"/>
        <v>137.75</v>
      </c>
      <c r="EZ2" s="9">
        <f t="shared" si="2"/>
        <v>137.5</v>
      </c>
      <c r="FA2" s="9">
        <f t="shared" si="2"/>
        <v>137.05</v>
      </c>
      <c r="FB2" s="9">
        <f t="shared" si="2"/>
        <v>137.4</v>
      </c>
      <c r="FC2" s="9">
        <f t="shared" si="2"/>
        <v>138.2</v>
      </c>
      <c r="FD2" s="9">
        <f t="shared" si="2"/>
        <v>137.05</v>
      </c>
      <c r="FE2" s="9">
        <f t="shared" si="2"/>
        <v>136.7</v>
      </c>
      <c r="FF2" s="9">
        <f t="shared" si="2"/>
        <v>136.85</v>
      </c>
      <c r="FG2" s="9">
        <f t="shared" si="2"/>
        <v>136.55</v>
      </c>
      <c r="FH2" s="9">
        <f t="shared" si="2"/>
        <v>136.25</v>
      </c>
      <c r="FI2" s="9">
        <f t="shared" si="2"/>
        <v>136.1</v>
      </c>
      <c r="FJ2" s="9">
        <f t="shared" si="2"/>
        <v>135.85</v>
      </c>
      <c r="FK2" s="9">
        <f t="shared" si="2"/>
        <v>135.65</v>
      </c>
      <c r="FL2" s="9">
        <f t="shared" si="2"/>
        <v>135.4</v>
      </c>
      <c r="FM2" s="9">
        <f t="shared" si="2"/>
        <v>135.15</v>
      </c>
      <c r="FN2" s="9">
        <f t="shared" si="2"/>
        <v>134.95</v>
      </c>
      <c r="FO2" s="9">
        <f t="shared" si="2"/>
        <v>134.8</v>
      </c>
      <c r="FP2" s="9">
        <f t="shared" si="2"/>
        <v>134.55</v>
      </c>
      <c r="FQ2" s="9">
        <f t="shared" si="2"/>
        <v>134.3</v>
      </c>
      <c r="FR2" s="9">
        <f t="shared" si="2"/>
        <v>134.05</v>
      </c>
      <c r="FS2" s="9">
        <f t="shared" si="2"/>
        <v>133.85</v>
      </c>
      <c r="FT2" s="9">
        <f t="shared" si="2"/>
        <v>134</v>
      </c>
      <c r="FU2" s="9">
        <f t="shared" si="2"/>
        <v>133.7</v>
      </c>
      <c r="FV2" s="9">
        <f t="shared" si="2"/>
        <v>133.5</v>
      </c>
      <c r="FW2" s="9">
        <f t="shared" si="2"/>
        <v>133.25</v>
      </c>
      <c r="FX2" s="9">
        <f t="shared" si="2"/>
        <v>133.1</v>
      </c>
      <c r="FY2" s="9">
        <f t="shared" si="2"/>
        <v>132.85</v>
      </c>
      <c r="FZ2" s="9">
        <f t="shared" si="2"/>
        <v>132.85</v>
      </c>
      <c r="GA2" s="9">
        <f t="shared" si="2"/>
        <v>133.1</v>
      </c>
      <c r="GB2" s="9">
        <f t="shared" si="2"/>
        <v>133.25</v>
      </c>
      <c r="GC2" s="9">
        <f t="shared" si="2"/>
        <v>133</v>
      </c>
      <c r="GD2" s="9">
        <f t="shared" si="2"/>
        <v>132.8</v>
      </c>
      <c r="GE2" s="9">
        <f t="shared" si="2"/>
        <v>132.55</v>
      </c>
      <c r="GF2" s="9">
        <f t="shared" si="2"/>
        <v>132.3</v>
      </c>
      <c r="GG2" s="9">
        <f t="shared" si="2"/>
        <v>132.05</v>
      </c>
      <c r="GH2" s="9">
        <f t="shared" si="2"/>
        <v>132.35</v>
      </c>
      <c r="GI2" s="9">
        <f t="shared" si="2"/>
        <v>132.2</v>
      </c>
      <c r="GJ2" s="9">
        <f t="shared" si="2"/>
        <v>131.9</v>
      </c>
      <c r="GK2" s="9">
        <f t="shared" si="2"/>
        <v>131.7</v>
      </c>
      <c r="GL2" s="9">
        <f t="shared" ref="GL2:IW2" si="3">200-GL14</f>
        <v>131.55</v>
      </c>
      <c r="GM2" s="9">
        <f t="shared" si="3"/>
        <v>131.4</v>
      </c>
      <c r="GN2" s="9">
        <f t="shared" si="3"/>
        <v>131.1</v>
      </c>
      <c r="GO2" s="9">
        <f t="shared" si="3"/>
        <v>131.9</v>
      </c>
      <c r="GP2" s="9">
        <f t="shared" si="3"/>
        <v>131.3</v>
      </c>
      <c r="GQ2" s="9">
        <f t="shared" si="3"/>
        <v>131.05</v>
      </c>
      <c r="GR2" s="9">
        <f t="shared" si="3"/>
        <v>130.8</v>
      </c>
      <c r="GS2" s="9">
        <f t="shared" si="3"/>
        <v>130.65</v>
      </c>
      <c r="GT2" s="9">
        <f t="shared" si="3"/>
        <v>132.9</v>
      </c>
      <c r="GU2" s="9">
        <f t="shared" si="3"/>
        <v>131.15</v>
      </c>
      <c r="GV2" s="9">
        <f t="shared" si="3"/>
        <v>130.85</v>
      </c>
      <c r="GW2" s="9">
        <f t="shared" si="3"/>
        <v>130.6</v>
      </c>
      <c r="GX2" s="9">
        <f t="shared" si="3"/>
        <v>130.6</v>
      </c>
      <c r="GY2" s="9">
        <f t="shared" si="3"/>
        <v>130.35</v>
      </c>
      <c r="GZ2" s="9">
        <f t="shared" si="3"/>
        <v>130.2</v>
      </c>
      <c r="HA2" s="9">
        <f t="shared" si="3"/>
        <v>130.5</v>
      </c>
      <c r="HB2" s="9">
        <f t="shared" si="3"/>
        <v>130.3</v>
      </c>
      <c r="HC2" s="9">
        <f t="shared" si="3"/>
        <v>130.1</v>
      </c>
      <c r="HD2" s="9">
        <f t="shared" si="3"/>
        <v>129.85</v>
      </c>
      <c r="HE2" s="9">
        <f t="shared" si="3"/>
        <v>129.7</v>
      </c>
      <c r="HF2" s="9">
        <f t="shared" si="3"/>
        <v>129.55</v>
      </c>
      <c r="HG2" s="9">
        <f t="shared" si="3"/>
        <v>129.4</v>
      </c>
      <c r="HH2" s="9">
        <f t="shared" si="3"/>
        <v>129.15</v>
      </c>
      <c r="HI2" s="9">
        <f t="shared" si="3"/>
        <v>128.9</v>
      </c>
      <c r="HJ2" s="9">
        <f t="shared" si="3"/>
        <v>128.85</v>
      </c>
      <c r="HK2" s="9">
        <f t="shared" si="3"/>
        <v>128.7</v>
      </c>
      <c r="HL2" s="9">
        <f t="shared" si="3"/>
        <v>128.5</v>
      </c>
      <c r="HM2" s="9">
        <f t="shared" si="3"/>
        <v>128.25</v>
      </c>
      <c r="HN2" s="9">
        <f t="shared" si="3"/>
        <v>128.4</v>
      </c>
      <c r="HO2" s="9">
        <f t="shared" si="3"/>
        <v>128.15</v>
      </c>
      <c r="HP2" s="9">
        <f t="shared" si="3"/>
        <v>128</v>
      </c>
      <c r="HQ2" s="9">
        <f t="shared" si="3"/>
        <v>128.1</v>
      </c>
      <c r="HR2" s="9">
        <f t="shared" si="3"/>
        <v>127.85</v>
      </c>
      <c r="HS2" s="9">
        <f t="shared" si="3"/>
        <v>127.75</v>
      </c>
      <c r="HT2" s="9">
        <f t="shared" si="3"/>
        <v>127.6</v>
      </c>
      <c r="HU2" s="9">
        <f t="shared" si="3"/>
        <v>127.5</v>
      </c>
      <c r="HV2" s="9">
        <f t="shared" si="3"/>
        <v>127.65</v>
      </c>
      <c r="HW2" s="9">
        <f t="shared" si="3"/>
        <v>127.8</v>
      </c>
      <c r="HX2" s="9">
        <f t="shared" si="3"/>
        <v>127.95</v>
      </c>
      <c r="HY2" s="9">
        <f t="shared" si="3"/>
        <v>128.15</v>
      </c>
      <c r="HZ2" s="9">
        <f t="shared" si="3"/>
        <v>128.4</v>
      </c>
      <c r="IA2" s="9">
        <f t="shared" si="3"/>
        <v>128.6</v>
      </c>
      <c r="IB2" s="9">
        <f t="shared" si="3"/>
        <v>128.75</v>
      </c>
      <c r="IC2" s="9">
        <f t="shared" si="3"/>
        <v>129.05</v>
      </c>
      <c r="ID2" s="9">
        <f t="shared" si="3"/>
        <v>129.3</v>
      </c>
      <c r="IE2" s="9">
        <f t="shared" si="3"/>
        <v>129.55</v>
      </c>
      <c r="IF2" s="9">
        <f t="shared" si="3"/>
        <v>130.2</v>
      </c>
      <c r="IG2" s="9">
        <f t="shared" si="3"/>
        <v>131.85</v>
      </c>
      <c r="IH2" s="9">
        <f t="shared" si="3"/>
        <v>132.2</v>
      </c>
      <c r="II2" s="9">
        <f t="shared" si="3"/>
        <v>132.45</v>
      </c>
      <c r="IJ2" s="9">
        <f t="shared" si="3"/>
        <v>132.9</v>
      </c>
      <c r="IK2" s="9">
        <f t="shared" si="3"/>
        <v>133.15</v>
      </c>
      <c r="IL2" s="9">
        <f t="shared" si="3"/>
        <v>133.6</v>
      </c>
      <c r="IM2" s="9">
        <f t="shared" si="3"/>
        <v>134.1</v>
      </c>
      <c r="IN2" s="9">
        <f t="shared" si="3"/>
        <v>134.35</v>
      </c>
      <c r="IO2" s="9">
        <f t="shared" si="3"/>
        <v>134.8</v>
      </c>
      <c r="IP2" s="9">
        <f t="shared" si="3"/>
        <v>135.15</v>
      </c>
      <c r="IQ2" s="9">
        <f t="shared" si="3"/>
        <v>135.4</v>
      </c>
      <c r="IR2" s="9">
        <f t="shared" si="3"/>
        <v>138.1</v>
      </c>
      <c r="IS2" s="9">
        <f t="shared" si="3"/>
        <v>137.2</v>
      </c>
      <c r="IT2" s="9">
        <f t="shared" si="3"/>
        <v>137.4</v>
      </c>
      <c r="IU2" s="9">
        <f t="shared" si="3"/>
        <v>138.05</v>
      </c>
      <c r="IV2" s="9">
        <f t="shared" si="3"/>
        <v>138.6</v>
      </c>
      <c r="IW2" s="9">
        <f t="shared" si="3"/>
        <v>138.25</v>
      </c>
      <c r="IX2" s="9">
        <f t="shared" ref="IX2:KO2" si="4">200-IX14</f>
        <v>139.1</v>
      </c>
      <c r="IY2" s="9">
        <f t="shared" si="4"/>
        <v>138.85</v>
      </c>
      <c r="IZ2" s="9">
        <f t="shared" si="4"/>
        <v>139.2</v>
      </c>
      <c r="JA2" s="9">
        <f t="shared" si="4"/>
        <v>138.65</v>
      </c>
      <c r="JB2" s="9">
        <f t="shared" si="4"/>
        <v>138.4</v>
      </c>
      <c r="JC2" s="9">
        <f t="shared" si="4"/>
        <v>138.8</v>
      </c>
      <c r="JD2" s="9">
        <f t="shared" si="4"/>
        <v>139.05</v>
      </c>
      <c r="JE2" s="9">
        <f t="shared" si="4"/>
        <v>139.6</v>
      </c>
      <c r="JF2" s="9">
        <f t="shared" si="4"/>
        <v>138.35</v>
      </c>
      <c r="JG2" s="9">
        <f t="shared" si="4"/>
        <v>138.8</v>
      </c>
      <c r="JH2" s="9">
        <f t="shared" si="4"/>
        <v>139.1</v>
      </c>
      <c r="JI2" s="9">
        <f t="shared" si="4"/>
        <v>138.45</v>
      </c>
      <c r="JJ2" s="9">
        <f t="shared" si="4"/>
        <v>139.8</v>
      </c>
      <c r="JK2" s="9">
        <f t="shared" si="4"/>
        <v>138.2</v>
      </c>
      <c r="JL2" s="9">
        <f t="shared" si="4"/>
        <v>137.85</v>
      </c>
      <c r="JM2" s="9">
        <f t="shared" si="4"/>
        <v>137.6</v>
      </c>
      <c r="JN2" s="9">
        <f t="shared" si="4"/>
        <v>137.35</v>
      </c>
      <c r="JO2" s="9">
        <f t="shared" si="4"/>
        <v>137.7</v>
      </c>
      <c r="JP2" s="9">
        <f t="shared" si="4"/>
        <v>137.1</v>
      </c>
      <c r="JQ2" s="9">
        <f t="shared" si="4"/>
        <v>136.85</v>
      </c>
      <c r="JR2" s="9">
        <f t="shared" si="4"/>
        <v>136.65</v>
      </c>
      <c r="JS2" s="9">
        <f t="shared" si="4"/>
        <v>136.95</v>
      </c>
      <c r="JT2" s="9">
        <f t="shared" si="4"/>
        <v>137.2</v>
      </c>
      <c r="JU2" s="9">
        <f t="shared" si="4"/>
        <v>136.9</v>
      </c>
      <c r="JV2" s="9">
        <f t="shared" si="4"/>
        <v>136.75</v>
      </c>
      <c r="JW2" s="9">
        <f t="shared" si="4"/>
        <v>138.5</v>
      </c>
      <c r="JX2" s="9">
        <f t="shared" si="4"/>
        <v>137.6</v>
      </c>
      <c r="JY2" s="9">
        <f t="shared" si="4"/>
        <v>137.25</v>
      </c>
      <c r="JZ2" s="9">
        <f t="shared" si="4"/>
        <v>137</v>
      </c>
      <c r="KA2" s="9">
        <f t="shared" si="4"/>
        <v>138.15</v>
      </c>
      <c r="KB2" s="9">
        <f t="shared" si="4"/>
        <v>136.8</v>
      </c>
      <c r="KC2" s="9">
        <f t="shared" si="4"/>
        <v>136.55</v>
      </c>
      <c r="KD2" s="9">
        <f t="shared" si="4"/>
        <v>136.4</v>
      </c>
      <c r="KE2" s="9">
        <f t="shared" si="4"/>
        <v>136.65</v>
      </c>
      <c r="KF2" s="9">
        <f t="shared" si="4"/>
        <v>136.9</v>
      </c>
      <c r="KG2" s="9">
        <f t="shared" si="4"/>
        <v>136.45</v>
      </c>
      <c r="KH2" s="9">
        <f t="shared" si="4"/>
        <v>136.2</v>
      </c>
      <c r="KI2" s="9">
        <f t="shared" si="4"/>
        <v>135.85</v>
      </c>
      <c r="KJ2" s="9">
        <f t="shared" si="4"/>
        <v>135.7</v>
      </c>
      <c r="KK2" s="9">
        <f t="shared" si="4"/>
        <v>135.95</v>
      </c>
      <c r="KL2" s="9">
        <f t="shared" si="4"/>
        <v>135.55</v>
      </c>
      <c r="KM2" s="9">
        <f t="shared" si="4"/>
        <v>135.3</v>
      </c>
      <c r="KN2" s="9">
        <f t="shared" si="4"/>
        <v>135.05</v>
      </c>
      <c r="KO2" s="9">
        <f t="shared" si="4"/>
        <v>134.8</v>
      </c>
    </row>
    <row r="3" s="7" customFormat="1" spans="1:301">
      <c r="A3" s="9" t="s">
        <v>2444</v>
      </c>
      <c r="B3" s="9">
        <v>78</v>
      </c>
      <c r="C3" s="9">
        <v>81</v>
      </c>
      <c r="D3" s="9">
        <v>85</v>
      </c>
      <c r="E3" s="9">
        <v>89</v>
      </c>
      <c r="F3" s="9">
        <v>92</v>
      </c>
      <c r="G3" s="9">
        <v>88</v>
      </c>
      <c r="H3" s="9">
        <v>84</v>
      </c>
      <c r="I3" s="9">
        <v>86</v>
      </c>
      <c r="J3" s="9">
        <v>82</v>
      </c>
      <c r="K3" s="9">
        <v>79</v>
      </c>
      <c r="L3" s="9">
        <v>83</v>
      </c>
      <c r="M3" s="9">
        <v>87</v>
      </c>
      <c r="N3" s="9">
        <v>91</v>
      </c>
      <c r="O3" s="9">
        <v>94</v>
      </c>
      <c r="P3" s="9">
        <v>97</v>
      </c>
      <c r="Q3" s="9">
        <v>92</v>
      </c>
      <c r="R3" s="9">
        <v>98</v>
      </c>
      <c r="S3" s="9">
        <v>95</v>
      </c>
      <c r="T3" s="9">
        <v>91</v>
      </c>
      <c r="U3" s="9">
        <v>89</v>
      </c>
      <c r="V3" s="9">
        <v>90</v>
      </c>
      <c r="W3" s="9">
        <v>87</v>
      </c>
      <c r="X3" s="9">
        <v>93</v>
      </c>
      <c r="Y3" s="9">
        <v>96</v>
      </c>
      <c r="Z3" s="9">
        <v>98</v>
      </c>
      <c r="AA3" s="9">
        <v>103</v>
      </c>
      <c r="AB3" s="9">
        <v>101</v>
      </c>
      <c r="AC3" s="9">
        <v>97</v>
      </c>
      <c r="AD3" s="9">
        <v>96</v>
      </c>
      <c r="AE3" s="9">
        <v>93</v>
      </c>
      <c r="AF3" s="9">
        <v>95</v>
      </c>
      <c r="AG3" s="9">
        <v>101</v>
      </c>
      <c r="AH3" s="9">
        <v>98</v>
      </c>
      <c r="AI3" s="9">
        <v>107</v>
      </c>
      <c r="AJ3" s="9">
        <v>112</v>
      </c>
      <c r="AK3" s="9">
        <v>104</v>
      </c>
      <c r="AL3" s="9">
        <v>92</v>
      </c>
      <c r="AM3" s="9">
        <v>95</v>
      </c>
      <c r="AN3" s="9">
        <v>102</v>
      </c>
      <c r="AO3" s="9">
        <v>98</v>
      </c>
      <c r="AP3" s="9">
        <v>89</v>
      </c>
      <c r="AQ3" s="9">
        <v>85</v>
      </c>
      <c r="AR3" s="9">
        <v>82</v>
      </c>
      <c r="AS3" s="9">
        <v>86</v>
      </c>
      <c r="AT3" s="9">
        <v>88</v>
      </c>
      <c r="AU3" s="9">
        <v>93</v>
      </c>
      <c r="AV3" s="9">
        <v>99</v>
      </c>
      <c r="AW3" s="9">
        <v>91</v>
      </c>
      <c r="AX3" s="9">
        <v>98</v>
      </c>
      <c r="AY3" s="9">
        <v>102</v>
      </c>
      <c r="AZ3" s="9">
        <v>106</v>
      </c>
      <c r="BA3" s="9">
        <v>109</v>
      </c>
      <c r="BB3" s="9">
        <v>101</v>
      </c>
      <c r="BC3" s="9">
        <v>94</v>
      </c>
      <c r="BD3" s="9">
        <v>90</v>
      </c>
      <c r="BE3" s="9">
        <v>92</v>
      </c>
      <c r="BF3" s="9">
        <v>103</v>
      </c>
      <c r="BG3" s="9">
        <v>105</v>
      </c>
      <c r="BH3" s="9">
        <v>108</v>
      </c>
      <c r="BI3" s="9">
        <v>111</v>
      </c>
      <c r="BJ3" s="9">
        <v>96</v>
      </c>
      <c r="BK3" s="9">
        <v>104</v>
      </c>
      <c r="BL3" s="9">
        <v>101</v>
      </c>
      <c r="BM3" s="9">
        <v>97</v>
      </c>
      <c r="BN3" s="9">
        <v>89</v>
      </c>
      <c r="BO3" s="9">
        <v>85</v>
      </c>
      <c r="BP3" s="9">
        <v>81</v>
      </c>
      <c r="BQ3" s="9">
        <v>84</v>
      </c>
      <c r="BR3" s="9">
        <v>88</v>
      </c>
      <c r="BS3" s="9">
        <v>92</v>
      </c>
      <c r="BT3" s="9">
        <v>95</v>
      </c>
      <c r="BU3" s="9">
        <v>114</v>
      </c>
      <c r="BV3" s="9">
        <v>118</v>
      </c>
      <c r="BW3" s="9">
        <v>102</v>
      </c>
      <c r="BX3" s="9">
        <v>95</v>
      </c>
      <c r="BY3" s="9">
        <v>91</v>
      </c>
      <c r="BZ3" s="9">
        <v>88</v>
      </c>
      <c r="CA3" s="9">
        <v>82</v>
      </c>
      <c r="CB3" s="9">
        <v>79</v>
      </c>
      <c r="CC3" s="9">
        <v>83</v>
      </c>
      <c r="CD3" s="9">
        <v>86</v>
      </c>
      <c r="CE3" s="9">
        <v>90</v>
      </c>
      <c r="CF3" s="9">
        <v>85</v>
      </c>
      <c r="CG3" s="9">
        <v>77</v>
      </c>
      <c r="CH3" s="9">
        <v>62</v>
      </c>
      <c r="CI3" s="9">
        <v>68</v>
      </c>
      <c r="CJ3" s="9">
        <v>71</v>
      </c>
      <c r="CK3" s="9">
        <v>75</v>
      </c>
      <c r="CL3" s="9">
        <v>73</v>
      </c>
      <c r="CM3" s="9">
        <v>70</v>
      </c>
      <c r="CN3" s="9">
        <v>76</v>
      </c>
      <c r="CO3" s="9">
        <v>72</v>
      </c>
      <c r="CP3" s="9">
        <v>69</v>
      </c>
      <c r="CQ3" s="9">
        <v>74</v>
      </c>
      <c r="CR3" s="9">
        <v>78</v>
      </c>
      <c r="CS3" s="9">
        <v>81</v>
      </c>
      <c r="CT3" s="9">
        <v>79</v>
      </c>
      <c r="CU3" s="9">
        <v>84</v>
      </c>
      <c r="CV3" s="9">
        <v>88</v>
      </c>
      <c r="CW3" s="9">
        <v>92</v>
      </c>
      <c r="CX3" s="9">
        <v>86</v>
      </c>
      <c r="CY3" s="9">
        <v>83</v>
      </c>
      <c r="CZ3" s="9">
        <v>87</v>
      </c>
      <c r="DA3" s="9">
        <v>91</v>
      </c>
      <c r="DB3" s="9">
        <v>95</v>
      </c>
      <c r="DC3" s="9">
        <v>90</v>
      </c>
      <c r="DD3" s="9">
        <v>88</v>
      </c>
      <c r="DE3" s="9">
        <v>82</v>
      </c>
      <c r="DF3" s="9">
        <v>89</v>
      </c>
      <c r="DG3" s="9">
        <v>102</v>
      </c>
      <c r="DH3" s="9">
        <v>118</v>
      </c>
      <c r="DI3" s="9">
        <v>111</v>
      </c>
      <c r="DJ3" s="9">
        <v>105</v>
      </c>
      <c r="DK3" s="9">
        <v>98</v>
      </c>
      <c r="DL3" s="9">
        <v>92</v>
      </c>
      <c r="DM3" s="9">
        <v>89</v>
      </c>
      <c r="DN3" s="9">
        <v>86</v>
      </c>
      <c r="DO3" s="9">
        <v>91</v>
      </c>
      <c r="DP3" s="9">
        <v>94</v>
      </c>
      <c r="DQ3" s="9">
        <v>74</v>
      </c>
      <c r="DR3" s="9">
        <v>68</v>
      </c>
      <c r="DS3" s="9">
        <v>72</v>
      </c>
      <c r="DT3" s="9">
        <v>75</v>
      </c>
      <c r="DU3" s="9">
        <v>81</v>
      </c>
      <c r="DV3" s="9">
        <v>76</v>
      </c>
      <c r="DW3" s="9">
        <v>74</v>
      </c>
      <c r="DX3" s="9">
        <v>70</v>
      </c>
      <c r="DY3" s="9">
        <v>73</v>
      </c>
      <c r="DZ3" s="9">
        <v>71</v>
      </c>
      <c r="EA3" s="9">
        <v>79</v>
      </c>
      <c r="EB3" s="9">
        <v>82</v>
      </c>
      <c r="EC3" s="9">
        <v>76</v>
      </c>
      <c r="ED3" s="9">
        <v>79</v>
      </c>
      <c r="EE3" s="9">
        <v>83</v>
      </c>
      <c r="EF3" s="9">
        <v>85</v>
      </c>
      <c r="EG3" s="9">
        <v>92</v>
      </c>
      <c r="EH3" s="9">
        <v>98</v>
      </c>
      <c r="EI3" s="9">
        <v>94</v>
      </c>
      <c r="EJ3" s="9">
        <v>88</v>
      </c>
      <c r="EK3" s="9">
        <v>85</v>
      </c>
      <c r="EL3" s="9">
        <v>89</v>
      </c>
      <c r="EM3" s="9">
        <v>93</v>
      </c>
      <c r="EN3" s="9">
        <v>96</v>
      </c>
      <c r="EO3" s="9">
        <v>87</v>
      </c>
      <c r="EP3" s="9">
        <v>88</v>
      </c>
      <c r="EQ3" s="9">
        <v>92</v>
      </c>
      <c r="ER3" s="9">
        <v>94</v>
      </c>
      <c r="ES3" s="9">
        <v>89</v>
      </c>
      <c r="ET3" s="9">
        <v>93</v>
      </c>
      <c r="EU3" s="9">
        <v>96</v>
      </c>
      <c r="EV3" s="9">
        <v>91</v>
      </c>
      <c r="EW3" s="9">
        <v>95</v>
      </c>
      <c r="EX3" s="9">
        <v>101</v>
      </c>
      <c r="EY3" s="9">
        <v>98</v>
      </c>
      <c r="EZ3" s="9">
        <v>104</v>
      </c>
      <c r="FA3" s="9">
        <v>107</v>
      </c>
      <c r="FB3" s="9">
        <v>96</v>
      </c>
      <c r="FC3" s="9">
        <v>94</v>
      </c>
      <c r="FD3" s="9">
        <v>103</v>
      </c>
      <c r="FE3" s="9">
        <v>112</v>
      </c>
      <c r="FF3" s="9">
        <v>119</v>
      </c>
      <c r="FG3" s="9">
        <v>111</v>
      </c>
      <c r="FH3" s="9">
        <v>107</v>
      </c>
      <c r="FI3" s="9">
        <v>114</v>
      </c>
      <c r="FJ3" s="9">
        <v>117</v>
      </c>
      <c r="FK3" s="9">
        <v>115</v>
      </c>
      <c r="FL3" s="9">
        <v>109</v>
      </c>
      <c r="FM3" s="9">
        <v>112</v>
      </c>
      <c r="FN3" s="9">
        <v>114</v>
      </c>
      <c r="FO3" s="9">
        <v>118</v>
      </c>
      <c r="FP3" s="9">
        <v>122</v>
      </c>
      <c r="FQ3" s="9">
        <v>125</v>
      </c>
      <c r="FR3" s="9">
        <v>121</v>
      </c>
      <c r="FS3" s="9">
        <v>126</v>
      </c>
      <c r="FT3" s="9">
        <v>123</v>
      </c>
      <c r="FU3" s="9">
        <v>127</v>
      </c>
      <c r="FV3" s="9">
        <v>132</v>
      </c>
      <c r="FW3" s="9">
        <v>135</v>
      </c>
      <c r="FX3" s="9">
        <v>138</v>
      </c>
      <c r="FY3" s="9">
        <v>141</v>
      </c>
      <c r="FZ3" s="9">
        <v>141</v>
      </c>
      <c r="GA3" s="9">
        <v>158</v>
      </c>
      <c r="GB3" s="9">
        <v>161</v>
      </c>
      <c r="GC3" s="9">
        <v>148</v>
      </c>
      <c r="GD3" s="9">
        <v>139</v>
      </c>
      <c r="GE3" s="9">
        <v>132</v>
      </c>
      <c r="GF3" s="9">
        <v>128</v>
      </c>
      <c r="GG3" s="9">
        <v>136</v>
      </c>
      <c r="GH3" s="9">
        <v>129</v>
      </c>
      <c r="GI3" s="9">
        <v>125</v>
      </c>
      <c r="GJ3" s="9">
        <v>121</v>
      </c>
      <c r="GK3" s="9">
        <v>118</v>
      </c>
      <c r="GL3" s="9">
        <v>126</v>
      </c>
      <c r="GM3" s="9">
        <v>138</v>
      </c>
      <c r="GN3" s="9">
        <v>135</v>
      </c>
      <c r="GO3" s="9">
        <v>122</v>
      </c>
      <c r="GP3" s="9">
        <v>118</v>
      </c>
      <c r="GQ3" s="9">
        <v>115</v>
      </c>
      <c r="GR3" s="9">
        <v>110</v>
      </c>
      <c r="GS3" s="9">
        <v>114</v>
      </c>
      <c r="GT3" s="9">
        <v>109</v>
      </c>
      <c r="GU3" s="9">
        <v>116</v>
      </c>
      <c r="GV3" s="9">
        <v>112</v>
      </c>
      <c r="GW3" s="9">
        <v>108</v>
      </c>
      <c r="GX3" s="9">
        <v>102</v>
      </c>
      <c r="GY3" s="9">
        <v>105</v>
      </c>
      <c r="GZ3" s="9">
        <v>111</v>
      </c>
      <c r="HA3" s="9">
        <v>108</v>
      </c>
      <c r="HB3" s="9">
        <v>116</v>
      </c>
      <c r="HC3" s="9">
        <v>104</v>
      </c>
      <c r="HD3" s="9">
        <v>102</v>
      </c>
      <c r="HE3" s="9">
        <v>105</v>
      </c>
      <c r="HF3" s="9">
        <v>101</v>
      </c>
      <c r="HG3" s="9">
        <v>121</v>
      </c>
      <c r="HH3" s="9">
        <v>109</v>
      </c>
      <c r="HI3" s="9">
        <v>113</v>
      </c>
      <c r="HJ3" s="9">
        <v>112</v>
      </c>
      <c r="HK3" s="9">
        <v>118</v>
      </c>
      <c r="HL3" s="9">
        <v>131</v>
      </c>
      <c r="HM3" s="9">
        <v>128</v>
      </c>
      <c r="HN3" s="9">
        <v>122</v>
      </c>
      <c r="HO3" s="9">
        <v>134</v>
      </c>
      <c r="HP3" s="9">
        <v>137</v>
      </c>
      <c r="HQ3" s="9">
        <v>130</v>
      </c>
      <c r="HR3" s="9">
        <v>127</v>
      </c>
      <c r="HS3" s="9">
        <v>129</v>
      </c>
      <c r="HT3" s="9">
        <v>125</v>
      </c>
      <c r="HU3" s="9">
        <v>119</v>
      </c>
      <c r="HV3" s="9">
        <v>128</v>
      </c>
      <c r="HW3" s="9">
        <v>135</v>
      </c>
      <c r="HX3" s="9">
        <v>141</v>
      </c>
      <c r="HY3" s="9">
        <v>138</v>
      </c>
      <c r="HZ3" s="9">
        <v>134</v>
      </c>
      <c r="IA3" s="9">
        <v>129</v>
      </c>
      <c r="IB3" s="9">
        <v>125</v>
      </c>
      <c r="IC3" s="9">
        <v>122</v>
      </c>
      <c r="ID3" s="9">
        <v>128</v>
      </c>
      <c r="IE3" s="9">
        <v>133</v>
      </c>
      <c r="IF3" s="9">
        <v>140</v>
      </c>
      <c r="IG3" s="9">
        <v>144</v>
      </c>
      <c r="IH3" s="9">
        <v>115</v>
      </c>
      <c r="II3" s="9">
        <v>110</v>
      </c>
      <c r="IJ3" s="9">
        <v>118</v>
      </c>
      <c r="IK3" s="9">
        <v>122</v>
      </c>
      <c r="IL3" s="9">
        <v>119</v>
      </c>
      <c r="IM3" s="9">
        <v>124</v>
      </c>
      <c r="IN3" s="9">
        <v>121</v>
      </c>
      <c r="IO3" s="9">
        <v>118</v>
      </c>
      <c r="IP3" s="9">
        <v>126</v>
      </c>
      <c r="IQ3" s="9">
        <v>131</v>
      </c>
      <c r="IR3" s="9">
        <v>128</v>
      </c>
      <c r="IS3" s="9">
        <v>120</v>
      </c>
      <c r="IT3" s="9">
        <v>112</v>
      </c>
      <c r="IU3" s="9">
        <v>114</v>
      </c>
      <c r="IV3" s="9">
        <v>128</v>
      </c>
      <c r="IW3" s="9">
        <v>123</v>
      </c>
      <c r="IX3" s="9">
        <v>121</v>
      </c>
      <c r="IY3" s="9">
        <v>126</v>
      </c>
      <c r="IZ3" s="9">
        <v>119</v>
      </c>
      <c r="JA3" s="9">
        <v>122</v>
      </c>
      <c r="JB3" s="9">
        <v>129</v>
      </c>
      <c r="JC3" s="9">
        <v>134</v>
      </c>
      <c r="JD3" s="9">
        <v>131</v>
      </c>
      <c r="JE3" s="9">
        <v>127</v>
      </c>
      <c r="JF3" s="9">
        <v>124</v>
      </c>
      <c r="JG3" s="9">
        <v>121</v>
      </c>
      <c r="JH3" s="9">
        <v>133</v>
      </c>
      <c r="JI3" s="9">
        <v>130</v>
      </c>
      <c r="JJ3" s="9">
        <v>128</v>
      </c>
      <c r="JK3" s="9">
        <v>142</v>
      </c>
      <c r="JL3" s="9">
        <v>151</v>
      </c>
      <c r="JM3" s="9">
        <v>155</v>
      </c>
      <c r="JN3" s="9">
        <v>163</v>
      </c>
      <c r="JO3" s="9">
        <v>158</v>
      </c>
      <c r="JP3" s="9">
        <v>152</v>
      </c>
      <c r="JQ3" s="9">
        <v>148</v>
      </c>
      <c r="JR3" s="9">
        <v>152</v>
      </c>
      <c r="JS3" s="9">
        <v>166</v>
      </c>
      <c r="JT3" s="9">
        <v>168</v>
      </c>
      <c r="JU3" s="9">
        <v>161</v>
      </c>
      <c r="JV3" s="9">
        <v>158</v>
      </c>
      <c r="JW3" s="9">
        <v>153</v>
      </c>
      <c r="JX3" s="9">
        <v>148</v>
      </c>
      <c r="JY3" s="9">
        <v>145</v>
      </c>
      <c r="JZ3" s="9">
        <v>149</v>
      </c>
      <c r="KA3" s="9">
        <v>154</v>
      </c>
      <c r="KB3" s="9">
        <v>142</v>
      </c>
      <c r="KC3" s="9">
        <v>138</v>
      </c>
      <c r="KD3" s="9">
        <v>135</v>
      </c>
      <c r="KE3" s="9">
        <v>132</v>
      </c>
      <c r="KF3" s="9">
        <v>141</v>
      </c>
      <c r="KG3" s="9">
        <v>148</v>
      </c>
      <c r="KH3" s="9">
        <v>156</v>
      </c>
      <c r="KI3" s="9">
        <v>151</v>
      </c>
      <c r="KJ3" s="9">
        <v>146</v>
      </c>
      <c r="KK3" s="9">
        <v>142</v>
      </c>
      <c r="KL3" s="9">
        <v>149</v>
      </c>
      <c r="KM3" s="9">
        <v>153</v>
      </c>
      <c r="KN3" s="9">
        <v>145</v>
      </c>
      <c r="KO3" s="9">
        <v>139</v>
      </c>
    </row>
    <row r="4" s="7" customFormat="1" spans="1:301">
      <c r="A4" s="9" t="s">
        <v>2445</v>
      </c>
      <c r="B4" s="9">
        <v>51.87</v>
      </c>
      <c r="C4" s="9">
        <v>51.81</v>
      </c>
      <c r="D4" s="9">
        <v>50.725</v>
      </c>
      <c r="E4" s="9">
        <v>49.04</v>
      </c>
      <c r="F4" s="9">
        <v>47.32</v>
      </c>
      <c r="G4" s="9">
        <v>45.505</v>
      </c>
      <c r="H4" s="9">
        <v>44.53</v>
      </c>
      <c r="I4" s="9">
        <v>45.02</v>
      </c>
      <c r="J4" s="9">
        <v>46.545</v>
      </c>
      <c r="K4" s="9">
        <v>48.31</v>
      </c>
      <c r="L4" s="9">
        <v>50.235</v>
      </c>
      <c r="M4" s="9">
        <v>51.315</v>
      </c>
      <c r="N4" s="9">
        <v>51.69</v>
      </c>
      <c r="O4" s="9">
        <v>51.52</v>
      </c>
      <c r="P4" s="9">
        <v>50.51</v>
      </c>
      <c r="Q4" s="9">
        <v>48.875</v>
      </c>
      <c r="R4" s="9">
        <v>46.855</v>
      </c>
      <c r="S4" s="9">
        <v>45.165</v>
      </c>
      <c r="T4" s="9">
        <v>44.02</v>
      </c>
      <c r="U4" s="9">
        <v>44.63</v>
      </c>
      <c r="V4" s="9">
        <v>46.27</v>
      </c>
      <c r="W4" s="9">
        <v>48.14</v>
      </c>
      <c r="X4" s="9">
        <v>50.015</v>
      </c>
      <c r="Y4" s="9">
        <v>51.185</v>
      </c>
      <c r="Z4" s="9">
        <v>50.31</v>
      </c>
      <c r="AA4" s="9">
        <v>50.04</v>
      </c>
      <c r="AB4" s="9">
        <v>48.515</v>
      </c>
      <c r="AC4" s="9">
        <v>47.03</v>
      </c>
      <c r="AD4" s="9">
        <v>45.07</v>
      </c>
      <c r="AE4" s="9">
        <v>43.385</v>
      </c>
      <c r="AF4" s="9">
        <v>42.66</v>
      </c>
      <c r="AG4" s="9">
        <v>43.18</v>
      </c>
      <c r="AH4" s="9">
        <v>44.37</v>
      </c>
      <c r="AI4" s="9">
        <v>46.44</v>
      </c>
      <c r="AJ4" s="9">
        <v>53.675</v>
      </c>
      <c r="AK4" s="9">
        <v>50.66</v>
      </c>
      <c r="AL4" s="9">
        <v>49.22</v>
      </c>
      <c r="AM4" s="9">
        <v>48.955</v>
      </c>
      <c r="AN4" s="9">
        <v>47.54</v>
      </c>
      <c r="AO4" s="9">
        <v>45.88</v>
      </c>
      <c r="AP4" s="9">
        <v>43.91</v>
      </c>
      <c r="AQ4" s="9">
        <v>42.225</v>
      </c>
      <c r="AR4" s="9">
        <v>41.51</v>
      </c>
      <c r="AS4" s="9">
        <v>41.97</v>
      </c>
      <c r="AT4" s="9">
        <v>43.18</v>
      </c>
      <c r="AU4" s="9">
        <v>44.51</v>
      </c>
      <c r="AV4" s="9">
        <v>46.035</v>
      </c>
      <c r="AW4" s="9">
        <v>47.77</v>
      </c>
      <c r="AX4" s="9">
        <v>46.67</v>
      </c>
      <c r="AY4" s="9">
        <v>46.005</v>
      </c>
      <c r="AZ4" s="9">
        <v>44.54</v>
      </c>
      <c r="BA4" s="9">
        <v>42.88</v>
      </c>
      <c r="BB4" s="9">
        <v>41.115</v>
      </c>
      <c r="BC4" s="9">
        <v>39.885</v>
      </c>
      <c r="BD4" s="9">
        <v>38.89</v>
      </c>
      <c r="BE4" s="9">
        <v>39.33</v>
      </c>
      <c r="BF4" s="9">
        <v>40.52</v>
      </c>
      <c r="BG4" s="9">
        <v>42.26</v>
      </c>
      <c r="BH4" s="9">
        <v>43.735</v>
      </c>
      <c r="BI4" s="9">
        <v>45.225</v>
      </c>
      <c r="BJ4" s="9">
        <v>45.68</v>
      </c>
      <c r="BK4" s="9">
        <v>45.115</v>
      </c>
      <c r="BL4" s="9">
        <v>43.52</v>
      </c>
      <c r="BM4" s="9">
        <v>42.005</v>
      </c>
      <c r="BN4" s="9">
        <v>40.535</v>
      </c>
      <c r="BO4" s="9">
        <v>39.04</v>
      </c>
      <c r="BP4" s="9">
        <v>38.31</v>
      </c>
      <c r="BQ4" s="9">
        <v>38.725</v>
      </c>
      <c r="BR4" s="9">
        <v>39.935</v>
      </c>
      <c r="BS4" s="9">
        <v>41.22</v>
      </c>
      <c r="BT4" s="9">
        <v>42.66</v>
      </c>
      <c r="BU4" s="9">
        <v>44.18</v>
      </c>
      <c r="BV4" s="9">
        <v>44.02</v>
      </c>
      <c r="BW4" s="9">
        <v>43.56</v>
      </c>
      <c r="BX4" s="9">
        <v>42.025</v>
      </c>
      <c r="BY4" s="9">
        <v>40.415</v>
      </c>
      <c r="BZ4" s="9">
        <v>38.68</v>
      </c>
      <c r="CA4" s="9">
        <v>37.41</v>
      </c>
      <c r="CB4" s="9">
        <v>36.425</v>
      </c>
      <c r="CC4" s="9">
        <v>36.92</v>
      </c>
      <c r="CD4" s="9">
        <v>37.89</v>
      </c>
      <c r="CE4" s="9">
        <v>39.205</v>
      </c>
      <c r="CF4" s="9">
        <v>40.835</v>
      </c>
      <c r="CG4" s="9">
        <v>42.51</v>
      </c>
      <c r="CH4" s="9">
        <v>42.52</v>
      </c>
      <c r="CI4" s="9">
        <v>42.255</v>
      </c>
      <c r="CJ4" s="9">
        <v>40.74</v>
      </c>
      <c r="CK4" s="9">
        <v>39.03</v>
      </c>
      <c r="CL4" s="9">
        <v>37.215</v>
      </c>
      <c r="CM4" s="9">
        <v>36.025</v>
      </c>
      <c r="CN4" s="9">
        <v>35.16</v>
      </c>
      <c r="CO4" s="9">
        <v>35.52</v>
      </c>
      <c r="CP4" s="9">
        <v>36.53</v>
      </c>
      <c r="CQ4" s="9">
        <v>37.89</v>
      </c>
      <c r="CR4" s="9">
        <v>39.355</v>
      </c>
      <c r="CS4" s="9">
        <v>40.915</v>
      </c>
      <c r="CT4" s="9">
        <v>42.02</v>
      </c>
      <c r="CU4" s="9">
        <v>41.79</v>
      </c>
      <c r="CV4" s="9">
        <v>40.66</v>
      </c>
      <c r="CW4" s="9">
        <v>39.025</v>
      </c>
      <c r="CX4" s="9">
        <v>37.53</v>
      </c>
      <c r="CY4" s="9">
        <v>36.505</v>
      </c>
      <c r="CZ4" s="9">
        <v>35.82</v>
      </c>
      <c r="DA4" s="9">
        <v>36.21</v>
      </c>
      <c r="DB4" s="9">
        <v>37.535</v>
      </c>
      <c r="DC4" s="9">
        <v>38.77</v>
      </c>
      <c r="DD4" s="9">
        <v>40.31</v>
      </c>
      <c r="DE4" s="9">
        <v>42.03</v>
      </c>
      <c r="DF4" s="9">
        <v>44.17</v>
      </c>
      <c r="DG4" s="9">
        <v>44.025</v>
      </c>
      <c r="DH4" s="9">
        <v>42.86</v>
      </c>
      <c r="DI4" s="9">
        <v>41.39</v>
      </c>
      <c r="DJ4" s="9">
        <v>39.87</v>
      </c>
      <c r="DK4" s="9">
        <v>38.68</v>
      </c>
      <c r="DL4" s="9">
        <v>38.01</v>
      </c>
      <c r="DM4" s="9">
        <v>38.575</v>
      </c>
      <c r="DN4" s="9">
        <v>39.86</v>
      </c>
      <c r="DO4" s="9">
        <v>41.68</v>
      </c>
      <c r="DP4" s="9">
        <v>43.37</v>
      </c>
      <c r="DQ4" s="9">
        <v>45.215</v>
      </c>
      <c r="DR4" s="9">
        <v>47.51</v>
      </c>
      <c r="DS4" s="9">
        <v>47.37</v>
      </c>
      <c r="DT4" s="9">
        <v>46.18</v>
      </c>
      <c r="DU4" s="9">
        <v>44.715</v>
      </c>
      <c r="DV4" s="9">
        <v>42.935</v>
      </c>
      <c r="DW4" s="9">
        <v>41.36</v>
      </c>
      <c r="DX4" s="9">
        <v>40.575</v>
      </c>
      <c r="DY4" s="9">
        <v>41.04</v>
      </c>
      <c r="DZ4" s="9">
        <v>42.505</v>
      </c>
      <c r="EA4" s="9">
        <v>44.38</v>
      </c>
      <c r="EB4" s="9">
        <v>46.37</v>
      </c>
      <c r="EC4" s="9">
        <v>48.31</v>
      </c>
      <c r="ED4" s="9">
        <v>50.32</v>
      </c>
      <c r="EE4" s="9">
        <v>49.86</v>
      </c>
      <c r="EF4" s="9">
        <v>48.39</v>
      </c>
      <c r="EG4" s="9">
        <v>46.68</v>
      </c>
      <c r="EH4" s="9">
        <v>44.91</v>
      </c>
      <c r="EI4" s="9">
        <v>43.225</v>
      </c>
      <c r="EJ4" s="9">
        <v>42.34</v>
      </c>
      <c r="EK4" s="9">
        <v>42.92</v>
      </c>
      <c r="EL4" s="9">
        <v>44.685</v>
      </c>
      <c r="EM4" s="9">
        <v>47.03</v>
      </c>
      <c r="EN4" s="9">
        <v>49.215</v>
      </c>
      <c r="EO4" s="9">
        <v>50.925</v>
      </c>
      <c r="EP4" s="9">
        <v>51.96</v>
      </c>
      <c r="EQ4" s="9">
        <v>51.53</v>
      </c>
      <c r="ER4" s="9">
        <v>50.29</v>
      </c>
      <c r="ES4" s="9">
        <v>48.66</v>
      </c>
      <c r="ET4" s="9">
        <v>46.735</v>
      </c>
      <c r="EU4" s="9">
        <v>44.87</v>
      </c>
      <c r="EV4" s="9">
        <v>43.855</v>
      </c>
      <c r="EW4" s="9">
        <v>44.43</v>
      </c>
      <c r="EX4" s="9">
        <v>46.01</v>
      </c>
      <c r="EY4" s="9">
        <v>48.335</v>
      </c>
      <c r="EZ4" s="9">
        <v>50.52</v>
      </c>
      <c r="FA4" s="9">
        <v>52.24</v>
      </c>
      <c r="FB4" s="9">
        <v>52.53</v>
      </c>
      <c r="FC4" s="9">
        <v>52.31</v>
      </c>
      <c r="FD4" s="9">
        <v>50.82</v>
      </c>
      <c r="FE4" s="9">
        <v>48.885</v>
      </c>
      <c r="FF4" s="9">
        <v>46.81</v>
      </c>
      <c r="FG4" s="9">
        <v>44.88</v>
      </c>
      <c r="FH4" s="9">
        <v>43.815</v>
      </c>
      <c r="FI4" s="9">
        <v>44.44</v>
      </c>
      <c r="FJ4" s="9">
        <v>46.125</v>
      </c>
      <c r="FK4" s="9">
        <v>48.32</v>
      </c>
      <c r="FL4" s="9">
        <v>50.735</v>
      </c>
      <c r="FM4" s="9">
        <v>52.41</v>
      </c>
      <c r="FN4" s="9">
        <v>51.37</v>
      </c>
      <c r="FO4" s="9">
        <v>50.69</v>
      </c>
      <c r="FP4" s="9">
        <v>48.93</v>
      </c>
      <c r="FQ4" s="9">
        <v>46.86</v>
      </c>
      <c r="FR4" s="9">
        <v>44.77</v>
      </c>
      <c r="FS4" s="9">
        <v>42.725</v>
      </c>
      <c r="FT4" s="9">
        <v>41.69</v>
      </c>
      <c r="FU4" s="9">
        <v>42.28</v>
      </c>
      <c r="FV4" s="9">
        <v>43.72</v>
      </c>
      <c r="FW4" s="9">
        <v>45.835</v>
      </c>
      <c r="FX4" s="9">
        <v>47.355</v>
      </c>
      <c r="FY4" s="9">
        <v>48.87</v>
      </c>
      <c r="FZ4" s="9">
        <v>44.38</v>
      </c>
      <c r="GA4" s="9">
        <v>43.67</v>
      </c>
      <c r="GB4" s="9">
        <v>42.155</v>
      </c>
      <c r="GC4" s="9">
        <v>40.235</v>
      </c>
      <c r="GD4" s="9">
        <v>38.79</v>
      </c>
      <c r="GE4" s="9">
        <v>37.715</v>
      </c>
      <c r="GF4" s="9">
        <v>36.68</v>
      </c>
      <c r="GG4" s="9">
        <v>37.16</v>
      </c>
      <c r="GH4" s="9">
        <v>38.52</v>
      </c>
      <c r="GI4" s="9">
        <v>40.385</v>
      </c>
      <c r="GJ4" s="9">
        <v>41.865</v>
      </c>
      <c r="GK4" s="9">
        <v>43.525</v>
      </c>
      <c r="GL4" s="9">
        <v>44.62</v>
      </c>
      <c r="GM4" s="9">
        <v>44.38</v>
      </c>
      <c r="GN4" s="9">
        <v>42.89</v>
      </c>
      <c r="GO4" s="9">
        <v>41.125</v>
      </c>
      <c r="GP4" s="9">
        <v>39.515</v>
      </c>
      <c r="GQ4" s="9">
        <v>38.185</v>
      </c>
      <c r="GR4" s="9">
        <v>37.52</v>
      </c>
      <c r="GS4" s="9">
        <v>38.03</v>
      </c>
      <c r="GT4" s="9">
        <v>39.51</v>
      </c>
      <c r="GU4" s="9">
        <v>41.04</v>
      </c>
      <c r="GV4" s="9">
        <v>42.43</v>
      </c>
      <c r="GW4" s="9">
        <v>44.365</v>
      </c>
      <c r="GX4" s="9">
        <v>45.01</v>
      </c>
      <c r="GY4" s="9">
        <v>44.82</v>
      </c>
      <c r="GZ4" s="9">
        <v>43.255</v>
      </c>
      <c r="HA4" s="9">
        <v>41.74</v>
      </c>
      <c r="HB4" s="9">
        <v>40.18</v>
      </c>
      <c r="HC4" s="9">
        <v>38.87</v>
      </c>
      <c r="HD4" s="9">
        <v>38.18</v>
      </c>
      <c r="HE4" s="9">
        <v>38.56</v>
      </c>
      <c r="HF4" s="9">
        <v>39.875</v>
      </c>
      <c r="HG4" s="9">
        <v>41.335</v>
      </c>
      <c r="HH4" s="9">
        <v>42.865</v>
      </c>
      <c r="HI4" s="9">
        <v>44.505</v>
      </c>
      <c r="HJ4" s="9">
        <v>45.44</v>
      </c>
      <c r="HK4" s="9">
        <v>45.31</v>
      </c>
      <c r="HL4" s="9">
        <v>44.025</v>
      </c>
      <c r="HM4" s="9">
        <v>42.505</v>
      </c>
      <c r="HN4" s="9">
        <v>41.015</v>
      </c>
      <c r="HO4" s="9">
        <v>39.66</v>
      </c>
      <c r="HP4" s="9">
        <v>38.98</v>
      </c>
      <c r="HQ4" s="9">
        <v>39.37</v>
      </c>
      <c r="HR4" s="9">
        <v>41.025</v>
      </c>
      <c r="HS4" s="9">
        <v>42.61</v>
      </c>
      <c r="HT4" s="9">
        <v>44.54</v>
      </c>
      <c r="HU4" s="9">
        <v>46.52</v>
      </c>
      <c r="HV4" s="9">
        <v>47.18</v>
      </c>
      <c r="HW4" s="9">
        <v>47.02</v>
      </c>
      <c r="HX4" s="9">
        <v>45.885</v>
      </c>
      <c r="HY4" s="9">
        <v>44.16</v>
      </c>
      <c r="HZ4" s="9">
        <v>42.28</v>
      </c>
      <c r="IA4" s="9">
        <v>41.205</v>
      </c>
      <c r="IB4" s="9">
        <v>40.52</v>
      </c>
      <c r="IC4" s="9">
        <v>41.19</v>
      </c>
      <c r="ID4" s="9">
        <v>42.915</v>
      </c>
      <c r="IE4" s="9">
        <v>44.66</v>
      </c>
      <c r="IF4" s="9">
        <v>46.53</v>
      </c>
      <c r="IG4" s="9">
        <v>48.225</v>
      </c>
      <c r="IH4" s="9">
        <v>49.52</v>
      </c>
      <c r="II4" s="9">
        <v>49.385</v>
      </c>
      <c r="IJ4" s="9">
        <v>48.16</v>
      </c>
      <c r="IK4" s="9">
        <v>46.67</v>
      </c>
      <c r="IL4" s="9">
        <v>44.89</v>
      </c>
      <c r="IM4" s="9">
        <v>43.505</v>
      </c>
      <c r="IN4" s="9">
        <v>42.675</v>
      </c>
      <c r="IO4" s="9">
        <v>43.22</v>
      </c>
      <c r="IP4" s="9">
        <v>44.935</v>
      </c>
      <c r="IQ4" s="9">
        <v>46.875</v>
      </c>
      <c r="IR4" s="9">
        <v>49.005</v>
      </c>
      <c r="IS4" s="9">
        <v>50.99</v>
      </c>
      <c r="IT4" s="9">
        <v>52.52</v>
      </c>
      <c r="IU4" s="9">
        <v>53.01</v>
      </c>
      <c r="IV4" s="9">
        <v>51.54</v>
      </c>
      <c r="IW4" s="9">
        <v>50.035</v>
      </c>
      <c r="IX4" s="9">
        <v>48.025</v>
      </c>
      <c r="IY4" s="9">
        <v>46.37</v>
      </c>
      <c r="IZ4" s="9">
        <v>45.21</v>
      </c>
      <c r="JA4" s="9">
        <v>46.04</v>
      </c>
      <c r="JB4" s="9">
        <v>48.01</v>
      </c>
      <c r="JC4" s="9">
        <v>50.43</v>
      </c>
      <c r="JD4" s="9">
        <v>53.17</v>
      </c>
      <c r="JE4" s="9">
        <v>54.885</v>
      </c>
      <c r="JF4" s="9">
        <v>56.02</v>
      </c>
      <c r="JG4" s="9">
        <v>55.89</v>
      </c>
      <c r="JH4" s="9">
        <v>54.365</v>
      </c>
      <c r="JI4" s="9">
        <v>52.835</v>
      </c>
      <c r="JJ4" s="9">
        <v>50.87</v>
      </c>
      <c r="JK4" s="9">
        <v>49.03</v>
      </c>
      <c r="JL4" s="9">
        <v>47.875</v>
      </c>
      <c r="JM4" s="9">
        <v>48.76</v>
      </c>
      <c r="JN4" s="9">
        <v>51.17</v>
      </c>
      <c r="JO4" s="9">
        <v>53.73</v>
      </c>
      <c r="JP4" s="9">
        <v>56.165</v>
      </c>
      <c r="JQ4" s="9">
        <v>58.04</v>
      </c>
      <c r="JR4" s="9">
        <v>58.325</v>
      </c>
      <c r="JS4" s="9">
        <v>57.86</v>
      </c>
      <c r="JT4" s="9">
        <v>56.385</v>
      </c>
      <c r="JU4" s="9">
        <v>54.67</v>
      </c>
      <c r="JV4" s="9">
        <v>52.51</v>
      </c>
      <c r="JW4" s="9">
        <v>50.53</v>
      </c>
      <c r="JX4" s="9">
        <v>49.535</v>
      </c>
      <c r="JY4" s="9">
        <v>50.07</v>
      </c>
      <c r="JZ4" s="9">
        <v>52.29</v>
      </c>
      <c r="KA4" s="9">
        <v>54.81</v>
      </c>
      <c r="KB4" s="9">
        <v>56.875</v>
      </c>
      <c r="KC4" s="9">
        <v>58.42</v>
      </c>
      <c r="KD4" s="9">
        <v>57.23</v>
      </c>
      <c r="KE4" s="9">
        <v>55.77</v>
      </c>
      <c r="KF4" s="9">
        <v>53.535</v>
      </c>
      <c r="KG4" s="9">
        <v>51.375</v>
      </c>
      <c r="KH4" s="9">
        <v>49.19</v>
      </c>
      <c r="KI4" s="9">
        <v>47.16</v>
      </c>
      <c r="KJ4" s="9">
        <v>46.02</v>
      </c>
      <c r="KK4" s="9">
        <v>46.63</v>
      </c>
      <c r="KL4" s="9">
        <v>48.185</v>
      </c>
      <c r="KM4" s="9">
        <v>50.225</v>
      </c>
      <c r="KN4" s="9">
        <v>52.16</v>
      </c>
      <c r="KO4" s="9">
        <v>53.67</v>
      </c>
    </row>
    <row r="5" s="7" customFormat="1" ht="14.25" spans="1:301">
      <c r="A5" s="9" t="s">
        <v>2446</v>
      </c>
      <c r="B5" s="9">
        <v>98.5</v>
      </c>
      <c r="C5" s="9">
        <v>99.2</v>
      </c>
      <c r="D5" s="9">
        <v>100.5</v>
      </c>
      <c r="E5" s="9">
        <v>101.8</v>
      </c>
      <c r="F5" s="9">
        <v>103.5</v>
      </c>
      <c r="G5" s="9">
        <v>105.2</v>
      </c>
      <c r="H5" s="9">
        <v>106.8</v>
      </c>
      <c r="I5" s="9">
        <v>107.2</v>
      </c>
      <c r="J5" s="9">
        <v>104.5</v>
      </c>
      <c r="K5" s="9">
        <v>101.2</v>
      </c>
      <c r="L5" s="9">
        <v>99.8</v>
      </c>
      <c r="M5" s="9">
        <v>98.8</v>
      </c>
      <c r="N5" s="9">
        <v>98.7</v>
      </c>
      <c r="O5" s="9">
        <v>99.4</v>
      </c>
      <c r="P5" s="9">
        <v>100.8</v>
      </c>
      <c r="Q5" s="9">
        <v>102.1</v>
      </c>
      <c r="R5" s="9">
        <v>103.8</v>
      </c>
      <c r="S5" s="9">
        <v>105.5</v>
      </c>
      <c r="T5" s="9">
        <v>107.1</v>
      </c>
      <c r="U5" s="9">
        <v>107.5</v>
      </c>
      <c r="V5" s="9">
        <v>104.8</v>
      </c>
      <c r="W5" s="9">
        <v>101.5</v>
      </c>
      <c r="X5" s="9">
        <v>100.1</v>
      </c>
      <c r="Y5" s="9">
        <v>99.1</v>
      </c>
      <c r="Z5" s="9">
        <v>99.1</v>
      </c>
      <c r="AA5" s="9">
        <v>100.2</v>
      </c>
      <c r="AB5" s="9">
        <v>101.5</v>
      </c>
      <c r="AC5" s="9">
        <v>102.8</v>
      </c>
      <c r="AD5" s="9">
        <v>104.6</v>
      </c>
      <c r="AE5" s="9">
        <v>106.3</v>
      </c>
      <c r="AF5" s="9">
        <v>107.9</v>
      </c>
      <c r="AG5" s="9">
        <v>108.4</v>
      </c>
      <c r="AH5" s="9">
        <v>105.5</v>
      </c>
      <c r="AI5" s="9">
        <v>102.1</v>
      </c>
      <c r="AJ5" s="9">
        <v>100.5</v>
      </c>
      <c r="AK5" s="9">
        <v>99.4</v>
      </c>
      <c r="AL5" s="9">
        <v>99.2</v>
      </c>
      <c r="AM5" s="9">
        <v>99.8</v>
      </c>
      <c r="AN5" s="9">
        <v>100.9</v>
      </c>
      <c r="AO5" s="9">
        <v>102.4</v>
      </c>
      <c r="AP5" s="9">
        <v>104.2</v>
      </c>
      <c r="AQ5" s="9">
        <v>105.8</v>
      </c>
      <c r="AR5" s="9">
        <v>107.4</v>
      </c>
      <c r="AS5" s="9">
        <v>107.8</v>
      </c>
      <c r="AT5" s="9">
        <v>105.1</v>
      </c>
      <c r="AU5" s="9">
        <v>101.8</v>
      </c>
      <c r="AV5" s="9">
        <v>100.3</v>
      </c>
      <c r="AW5" s="9">
        <v>99.3</v>
      </c>
      <c r="AX5" s="9">
        <v>99.5</v>
      </c>
      <c r="AY5" s="9">
        <v>100.4</v>
      </c>
      <c r="AZ5" s="9">
        <v>101.5</v>
      </c>
      <c r="BA5" s="9">
        <v>103.2</v>
      </c>
      <c r="BB5" s="9">
        <v>105.1</v>
      </c>
      <c r="BC5" s="9">
        <v>106.8</v>
      </c>
      <c r="BD5" s="9">
        <v>108.2</v>
      </c>
      <c r="BE5" s="9">
        <v>108.7</v>
      </c>
      <c r="BF5" s="9">
        <v>105.8</v>
      </c>
      <c r="BG5" s="9">
        <v>102.5</v>
      </c>
      <c r="BH5" s="9">
        <v>101.1</v>
      </c>
      <c r="BI5" s="9">
        <v>100.2</v>
      </c>
      <c r="BJ5" s="9">
        <v>100.5</v>
      </c>
      <c r="BK5" s="9">
        <v>101.2</v>
      </c>
      <c r="BL5" s="9">
        <v>102.1</v>
      </c>
      <c r="BM5" s="9">
        <v>103.8</v>
      </c>
      <c r="BN5" s="9">
        <v>105.5</v>
      </c>
      <c r="BO5" s="9">
        <v>107.2</v>
      </c>
      <c r="BP5" s="9">
        <v>108.8</v>
      </c>
      <c r="BQ5" s="9">
        <v>109.4</v>
      </c>
      <c r="BR5" s="9">
        <v>106.5</v>
      </c>
      <c r="BS5" s="9">
        <v>103.2</v>
      </c>
      <c r="BT5" s="9">
        <v>101.8</v>
      </c>
      <c r="BU5" s="9">
        <v>100.8</v>
      </c>
      <c r="BV5" s="9">
        <v>101.2</v>
      </c>
      <c r="BW5" s="9">
        <v>101.8</v>
      </c>
      <c r="BX5" s="9">
        <v>102.8</v>
      </c>
      <c r="BY5" s="9">
        <v>104.5</v>
      </c>
      <c r="BZ5" s="9">
        <v>106.2</v>
      </c>
      <c r="CA5" s="9">
        <v>108.1</v>
      </c>
      <c r="CB5" s="9">
        <v>109.6</v>
      </c>
      <c r="CC5" s="9">
        <v>110.2</v>
      </c>
      <c r="CD5" s="9">
        <v>107.4</v>
      </c>
      <c r="CE5" s="9">
        <v>104.1</v>
      </c>
      <c r="CF5" s="9">
        <v>102.5</v>
      </c>
      <c r="CG5" s="9">
        <v>101.5</v>
      </c>
      <c r="CH5" s="9">
        <v>100.8</v>
      </c>
      <c r="CI5" s="9">
        <v>101.4</v>
      </c>
      <c r="CJ5" s="9">
        <v>102.5</v>
      </c>
      <c r="CK5" s="9">
        <v>104.2</v>
      </c>
      <c r="CL5" s="9">
        <v>106.1</v>
      </c>
      <c r="CM5" s="9">
        <v>107.8</v>
      </c>
      <c r="CN5" s="9">
        <v>109.4</v>
      </c>
      <c r="CO5" s="9">
        <v>110.1</v>
      </c>
      <c r="CP5" s="9">
        <v>107.1</v>
      </c>
      <c r="CQ5" s="9">
        <v>103.8</v>
      </c>
      <c r="CR5" s="9">
        <v>102.1</v>
      </c>
      <c r="CS5" s="9">
        <v>101.2</v>
      </c>
      <c r="CT5" s="9">
        <v>101.5</v>
      </c>
      <c r="CU5" s="9">
        <v>102.2</v>
      </c>
      <c r="CV5" s="9">
        <v>103.3</v>
      </c>
      <c r="CW5" s="9">
        <v>105.1</v>
      </c>
      <c r="CX5" s="9">
        <v>107.2</v>
      </c>
      <c r="CY5" s="9">
        <v>108.9</v>
      </c>
      <c r="CZ5" s="9">
        <v>110.5</v>
      </c>
      <c r="DA5" s="9">
        <v>111.2</v>
      </c>
      <c r="DB5" s="9">
        <v>108.4</v>
      </c>
      <c r="DC5" s="9">
        <v>105.2</v>
      </c>
      <c r="DD5" s="9">
        <v>103.5</v>
      </c>
      <c r="DE5" s="9">
        <v>102.5</v>
      </c>
      <c r="DF5" s="9">
        <v>102.1</v>
      </c>
      <c r="DG5" s="9">
        <v>102.8</v>
      </c>
      <c r="DH5" s="9">
        <v>104.1</v>
      </c>
      <c r="DI5" s="9">
        <v>105.8</v>
      </c>
      <c r="DJ5" s="9">
        <v>107.9</v>
      </c>
      <c r="DK5" s="9">
        <v>109.6</v>
      </c>
      <c r="DL5" s="9">
        <v>111.4</v>
      </c>
      <c r="DM5" s="9">
        <v>112.1</v>
      </c>
      <c r="DN5" s="9">
        <v>109.2</v>
      </c>
      <c r="DO5" s="9">
        <v>106.1</v>
      </c>
      <c r="DP5" s="9">
        <v>104.4</v>
      </c>
      <c r="DQ5" s="9">
        <v>103.5</v>
      </c>
      <c r="DR5" s="9">
        <v>101.8</v>
      </c>
      <c r="DS5" s="9">
        <v>102.2</v>
      </c>
      <c r="DT5" s="9">
        <v>103.5</v>
      </c>
      <c r="DU5" s="9">
        <v>105.2</v>
      </c>
      <c r="DV5" s="9">
        <v>107.1</v>
      </c>
      <c r="DW5" s="9">
        <v>108.8</v>
      </c>
      <c r="DX5" s="9">
        <v>110.4</v>
      </c>
      <c r="DY5" s="9">
        <v>111</v>
      </c>
      <c r="DZ5" s="9">
        <v>108.2</v>
      </c>
      <c r="EA5" s="9">
        <v>105.1</v>
      </c>
      <c r="EB5" s="9">
        <v>103.8</v>
      </c>
      <c r="EC5" s="9">
        <v>102.9</v>
      </c>
      <c r="ED5" s="9">
        <v>102.5</v>
      </c>
      <c r="EE5" s="9">
        <v>103.1</v>
      </c>
      <c r="EF5" s="9">
        <v>104.4</v>
      </c>
      <c r="EG5" s="9">
        <v>106.2</v>
      </c>
      <c r="EH5" s="9">
        <v>108.1</v>
      </c>
      <c r="EI5" s="9">
        <v>109.8</v>
      </c>
      <c r="EJ5" s="9">
        <v>111.6</v>
      </c>
      <c r="EK5" s="9">
        <v>112.3</v>
      </c>
      <c r="EL5" s="9">
        <v>109.5</v>
      </c>
      <c r="EM5" s="9">
        <v>106.4</v>
      </c>
      <c r="EN5" s="9">
        <v>104.8</v>
      </c>
      <c r="EO5" s="9">
        <v>103.8</v>
      </c>
      <c r="EP5" s="9">
        <v>103.2</v>
      </c>
      <c r="EQ5" s="9">
        <v>103.8</v>
      </c>
      <c r="ER5" s="9">
        <v>105.1</v>
      </c>
      <c r="ES5" s="9">
        <v>106.8</v>
      </c>
      <c r="ET5" s="9">
        <v>108.8</v>
      </c>
      <c r="EU5" s="9">
        <v>110.5</v>
      </c>
      <c r="EV5" s="9">
        <v>112.2</v>
      </c>
      <c r="EW5" s="9">
        <v>112.8</v>
      </c>
      <c r="EX5" s="9">
        <v>109.9</v>
      </c>
      <c r="EY5" s="9">
        <v>106.8</v>
      </c>
      <c r="EZ5" s="9">
        <v>105.2</v>
      </c>
      <c r="FA5" s="9">
        <v>104.3</v>
      </c>
      <c r="FB5" s="9">
        <v>104.2</v>
      </c>
      <c r="FC5" s="9">
        <v>104.8</v>
      </c>
      <c r="FD5" s="9">
        <v>105.9</v>
      </c>
      <c r="FE5" s="9">
        <v>107.5</v>
      </c>
      <c r="FF5" s="9">
        <v>109.5</v>
      </c>
      <c r="FG5" s="9">
        <v>111.2</v>
      </c>
      <c r="FH5" s="9">
        <v>112.9</v>
      </c>
      <c r="FI5" s="9">
        <v>113.5</v>
      </c>
      <c r="FJ5" s="9">
        <v>110.6</v>
      </c>
      <c r="FK5" s="9">
        <v>107.5</v>
      </c>
      <c r="FL5" s="9">
        <v>106.1</v>
      </c>
      <c r="FM5" s="9">
        <v>105.2</v>
      </c>
      <c r="FN5" s="9">
        <v>105.5</v>
      </c>
      <c r="FO5" s="9">
        <v>106.1</v>
      </c>
      <c r="FP5" s="9">
        <v>107.5</v>
      </c>
      <c r="FQ5" s="9">
        <v>109.2</v>
      </c>
      <c r="FR5" s="9">
        <v>111.5</v>
      </c>
      <c r="FS5" s="9">
        <v>113.8</v>
      </c>
      <c r="FT5" s="9">
        <v>115.5</v>
      </c>
      <c r="FU5" s="9">
        <v>116.2</v>
      </c>
      <c r="FV5" s="9">
        <v>113.1</v>
      </c>
      <c r="FW5" s="9">
        <v>110.2</v>
      </c>
      <c r="FX5" s="9">
        <v>108.5</v>
      </c>
      <c r="FY5" s="9">
        <v>107.4</v>
      </c>
      <c r="FZ5" s="9">
        <v>107.8</v>
      </c>
      <c r="GA5" s="9">
        <v>108.5</v>
      </c>
      <c r="GB5" s="9">
        <v>110.2</v>
      </c>
      <c r="GC5" s="9">
        <v>111.8</v>
      </c>
      <c r="GD5" s="9">
        <v>113.5</v>
      </c>
      <c r="GE5" s="9">
        <v>115.2</v>
      </c>
      <c r="GF5" s="9">
        <v>117.1</v>
      </c>
      <c r="GG5" s="9">
        <v>117.8</v>
      </c>
      <c r="GH5" s="9">
        <v>114.5</v>
      </c>
      <c r="GI5" s="9">
        <v>111.5</v>
      </c>
      <c r="GJ5" s="9">
        <v>109.8</v>
      </c>
      <c r="GK5" s="9">
        <v>108.5</v>
      </c>
      <c r="GL5" s="9">
        <v>106.2</v>
      </c>
      <c r="GM5" s="9">
        <v>106.8</v>
      </c>
      <c r="GN5" s="9">
        <v>107.9</v>
      </c>
      <c r="GO5" s="9">
        <v>109.5</v>
      </c>
      <c r="GP5" s="9">
        <v>111.2</v>
      </c>
      <c r="GQ5" s="9">
        <v>113.1</v>
      </c>
      <c r="GR5" s="9">
        <v>114.8</v>
      </c>
      <c r="GS5" s="9">
        <v>115.4</v>
      </c>
      <c r="GT5" s="9">
        <v>112.5</v>
      </c>
      <c r="GU5" s="9">
        <v>109.4</v>
      </c>
      <c r="GV5" s="9">
        <v>107.8</v>
      </c>
      <c r="GW5" s="9">
        <v>106.8</v>
      </c>
      <c r="GX5" s="9">
        <v>105.8</v>
      </c>
      <c r="GY5" s="9">
        <v>106.5</v>
      </c>
      <c r="GZ5" s="9">
        <v>107.4</v>
      </c>
      <c r="HA5" s="9">
        <v>108.9</v>
      </c>
      <c r="HB5" s="9">
        <v>110.8</v>
      </c>
      <c r="HC5" s="9">
        <v>112.5</v>
      </c>
      <c r="HD5" s="9">
        <v>114.2</v>
      </c>
      <c r="HE5" s="9">
        <v>114.9</v>
      </c>
      <c r="HF5" s="9">
        <v>112.1</v>
      </c>
      <c r="HG5" s="9">
        <v>109.2</v>
      </c>
      <c r="HH5" s="9">
        <v>107.5</v>
      </c>
      <c r="HI5" s="9">
        <v>106.6</v>
      </c>
      <c r="HJ5" s="9">
        <v>106.5</v>
      </c>
      <c r="HK5" s="9">
        <v>107.2</v>
      </c>
      <c r="HL5" s="9">
        <v>108.5</v>
      </c>
      <c r="HM5" s="9">
        <v>110.2</v>
      </c>
      <c r="HN5" s="9">
        <v>112.1</v>
      </c>
      <c r="HO5" s="9">
        <v>114.5</v>
      </c>
      <c r="HP5" s="9">
        <v>116.4</v>
      </c>
      <c r="HQ5" s="9">
        <v>117.2</v>
      </c>
      <c r="HR5" s="9">
        <v>113.8</v>
      </c>
      <c r="HS5" s="9">
        <v>110.5</v>
      </c>
      <c r="HT5" s="9">
        <v>108.8</v>
      </c>
      <c r="HU5" s="9">
        <v>107.6</v>
      </c>
      <c r="HV5" s="9">
        <v>107.2</v>
      </c>
      <c r="HW5" s="9">
        <v>107.9</v>
      </c>
      <c r="HX5" s="9">
        <v>109.1</v>
      </c>
      <c r="HY5" s="9">
        <v>110.8</v>
      </c>
      <c r="HZ5" s="9">
        <v>112.8</v>
      </c>
      <c r="IA5" s="9">
        <v>115.1</v>
      </c>
      <c r="IB5" s="9">
        <v>116.9</v>
      </c>
      <c r="IC5" s="9">
        <v>117.5</v>
      </c>
      <c r="ID5" s="9">
        <v>114.2</v>
      </c>
      <c r="IE5" s="9">
        <v>111.2</v>
      </c>
      <c r="IF5" s="9">
        <v>109.5</v>
      </c>
      <c r="IG5" s="9">
        <v>108.2</v>
      </c>
      <c r="IH5" s="9">
        <v>106.8</v>
      </c>
      <c r="II5" s="9">
        <v>107.4</v>
      </c>
      <c r="IJ5" s="9">
        <v>108.8</v>
      </c>
      <c r="IK5" s="9">
        <v>110.5</v>
      </c>
      <c r="IL5" s="9">
        <v>112.5</v>
      </c>
      <c r="IM5" s="9">
        <v>114.8</v>
      </c>
      <c r="IN5" s="9">
        <v>116.6</v>
      </c>
      <c r="IO5" s="9">
        <v>117.3</v>
      </c>
      <c r="IP5" s="9">
        <v>114.1</v>
      </c>
      <c r="IQ5" s="9">
        <v>111.1</v>
      </c>
      <c r="IR5" s="9">
        <v>109.2</v>
      </c>
      <c r="IS5" s="9">
        <v>108.1</v>
      </c>
      <c r="IT5" s="9">
        <v>107.5</v>
      </c>
      <c r="IU5" s="9">
        <v>108.2</v>
      </c>
      <c r="IV5" s="9">
        <v>109.6</v>
      </c>
      <c r="IW5" s="9">
        <v>111.5</v>
      </c>
      <c r="IX5" s="9">
        <v>113.8</v>
      </c>
      <c r="IY5" s="9">
        <v>116.2</v>
      </c>
      <c r="IZ5" s="9">
        <v>118.2</v>
      </c>
      <c r="JA5" s="9">
        <v>119.1</v>
      </c>
      <c r="JB5" s="9">
        <v>115.8</v>
      </c>
      <c r="JC5" s="9">
        <v>112.5</v>
      </c>
      <c r="JD5" s="9">
        <v>110.8</v>
      </c>
      <c r="JE5" s="9">
        <v>109.5</v>
      </c>
      <c r="JF5" s="9">
        <v>108.8</v>
      </c>
      <c r="JG5" s="9">
        <v>109.5</v>
      </c>
      <c r="JH5" s="9">
        <v>111.2</v>
      </c>
      <c r="JI5" s="9">
        <v>113.5</v>
      </c>
      <c r="JJ5" s="9">
        <v>116.2</v>
      </c>
      <c r="JK5" s="9">
        <v>118.8</v>
      </c>
      <c r="JL5" s="9">
        <v>121.5</v>
      </c>
      <c r="JM5" s="9">
        <v>122.8</v>
      </c>
      <c r="JN5" s="9">
        <v>119.5</v>
      </c>
      <c r="JO5" s="9">
        <v>116.2</v>
      </c>
      <c r="JP5" s="9">
        <v>113.5</v>
      </c>
      <c r="JQ5" s="9">
        <v>111.8</v>
      </c>
      <c r="JR5" s="9">
        <v>111.2</v>
      </c>
      <c r="JS5" s="9">
        <v>112.1</v>
      </c>
      <c r="JT5" s="9">
        <v>113.8</v>
      </c>
      <c r="JU5" s="9">
        <v>115.5</v>
      </c>
      <c r="JV5" s="9">
        <v>118.2</v>
      </c>
      <c r="JW5" s="9">
        <v>120.8</v>
      </c>
      <c r="JX5" s="9">
        <v>123.2</v>
      </c>
      <c r="JY5" s="9">
        <v>124.5</v>
      </c>
      <c r="JZ5" s="9">
        <v>121.2</v>
      </c>
      <c r="KA5" s="9">
        <v>117.8</v>
      </c>
      <c r="KB5" s="9">
        <v>115.2</v>
      </c>
      <c r="KC5" s="9">
        <v>113.5</v>
      </c>
      <c r="KD5" s="9">
        <v>114.5</v>
      </c>
      <c r="KE5" s="9">
        <v>115.2</v>
      </c>
      <c r="KF5" s="9">
        <v>117.5</v>
      </c>
      <c r="KG5" s="9">
        <v>119.8</v>
      </c>
      <c r="KH5" s="9">
        <v>122.5</v>
      </c>
      <c r="KI5" s="9">
        <v>125.1</v>
      </c>
      <c r="KJ5" s="9">
        <v>127.8</v>
      </c>
      <c r="KK5" s="9">
        <v>128.5</v>
      </c>
      <c r="KL5" s="9">
        <v>124.2</v>
      </c>
      <c r="KM5" s="9">
        <v>121.5</v>
      </c>
      <c r="KN5" s="9">
        <v>118.8</v>
      </c>
      <c r="KO5" s="9">
        <v>116.5</v>
      </c>
    </row>
    <row r="6" s="7" customFormat="1" ht="15.75" spans="1:301">
      <c r="A6" s="6" t="s">
        <v>19</v>
      </c>
      <c r="B6" s="4">
        <v>42.5</v>
      </c>
      <c r="C6" s="4">
        <v>45.8</v>
      </c>
      <c r="D6" s="4">
        <v>52.3</v>
      </c>
      <c r="E6" s="6">
        <v>68.4</v>
      </c>
      <c r="F6" s="4">
        <v>61.2</v>
      </c>
      <c r="G6" s="4">
        <v>58.6</v>
      </c>
      <c r="H6" s="4">
        <v>55.1</v>
      </c>
      <c r="I6" s="4">
        <v>53.8</v>
      </c>
      <c r="J6" s="4">
        <v>51.5</v>
      </c>
      <c r="K6" s="6">
        <v>59.2</v>
      </c>
      <c r="L6" s="4">
        <v>56.4</v>
      </c>
      <c r="M6" s="4">
        <v>48.9</v>
      </c>
      <c r="N6" s="4">
        <v>41.2</v>
      </c>
      <c r="O6" s="4">
        <v>43.5</v>
      </c>
      <c r="P6" s="4">
        <v>50.8</v>
      </c>
      <c r="Q6" s="4">
        <v>56.4</v>
      </c>
      <c r="R6" s="4">
        <v>52.1</v>
      </c>
      <c r="S6" s="4">
        <v>49.5</v>
      </c>
      <c r="T6" s="4">
        <v>47.2</v>
      </c>
      <c r="U6" s="4">
        <v>48.8</v>
      </c>
      <c r="V6" s="4">
        <v>51.2</v>
      </c>
      <c r="W6" s="6">
        <v>58.6</v>
      </c>
      <c r="X6" s="6">
        <v>61.4</v>
      </c>
      <c r="Y6" s="4">
        <v>45.7</v>
      </c>
      <c r="Z6" s="4">
        <v>38.5</v>
      </c>
      <c r="AA6" s="4">
        <v>40.2</v>
      </c>
      <c r="AB6" s="4">
        <v>45.6</v>
      </c>
      <c r="AC6" s="4">
        <v>48.9</v>
      </c>
      <c r="AD6" s="4">
        <v>51.5</v>
      </c>
      <c r="AE6" s="4">
        <v>47.8</v>
      </c>
      <c r="AF6" s="4">
        <v>46.2</v>
      </c>
      <c r="AG6" s="4">
        <v>49.4</v>
      </c>
      <c r="AH6" s="4">
        <v>52.1</v>
      </c>
      <c r="AI6" s="4">
        <v>58.4</v>
      </c>
      <c r="AJ6" s="6">
        <v>95.8</v>
      </c>
      <c r="AK6" s="4">
        <v>56.5</v>
      </c>
      <c r="AL6" s="4">
        <v>35.8</v>
      </c>
      <c r="AM6" s="4">
        <v>36.5</v>
      </c>
      <c r="AN6" s="4">
        <v>41.2</v>
      </c>
      <c r="AO6" s="4">
        <v>43.8</v>
      </c>
      <c r="AP6" s="4">
        <v>46.5</v>
      </c>
      <c r="AQ6" s="4">
        <v>42.1</v>
      </c>
      <c r="AR6" s="4">
        <v>40.8</v>
      </c>
      <c r="AS6" s="4">
        <v>44.5</v>
      </c>
      <c r="AT6" s="4">
        <v>48.2</v>
      </c>
      <c r="AU6" s="6">
        <v>55.6</v>
      </c>
      <c r="AV6" s="6">
        <v>59.8</v>
      </c>
      <c r="AW6" s="4">
        <v>42.4</v>
      </c>
      <c r="AX6" s="4">
        <v>32.5</v>
      </c>
      <c r="AY6" s="4">
        <v>33.8</v>
      </c>
      <c r="AZ6" s="4">
        <v>38.5</v>
      </c>
      <c r="BA6" s="4">
        <v>40.2</v>
      </c>
      <c r="BB6" s="4">
        <v>42.8</v>
      </c>
      <c r="BC6" s="4">
        <v>39.5</v>
      </c>
      <c r="BD6" s="4">
        <v>38.2</v>
      </c>
      <c r="BE6" s="4">
        <v>41.5</v>
      </c>
      <c r="BF6" s="4">
        <v>44.8</v>
      </c>
      <c r="BG6" s="6">
        <v>52.3</v>
      </c>
      <c r="BH6" s="6">
        <v>55.6</v>
      </c>
      <c r="BI6" s="6">
        <v>58.2</v>
      </c>
      <c r="BJ6" s="4">
        <v>28.5</v>
      </c>
      <c r="BK6" s="4">
        <v>29.2</v>
      </c>
      <c r="BL6" s="4">
        <v>32.8</v>
      </c>
      <c r="BM6" s="4">
        <v>35.4</v>
      </c>
      <c r="BN6" s="4">
        <v>38.2</v>
      </c>
      <c r="BO6" s="4">
        <v>34.5</v>
      </c>
      <c r="BP6" s="4">
        <v>33.1</v>
      </c>
      <c r="BQ6" s="4">
        <v>36.8</v>
      </c>
      <c r="BR6" s="4">
        <v>40.2</v>
      </c>
      <c r="BS6" s="6">
        <v>48.5</v>
      </c>
      <c r="BT6" s="6">
        <v>52.1</v>
      </c>
      <c r="BU6" s="6">
        <v>55.4</v>
      </c>
      <c r="BV6" s="6">
        <v>52.4</v>
      </c>
      <c r="BW6" s="4">
        <v>31.5</v>
      </c>
      <c r="BX6" s="4">
        <v>33.2</v>
      </c>
      <c r="BY6" s="4">
        <v>34.8</v>
      </c>
      <c r="BZ6" s="4">
        <v>37.1</v>
      </c>
      <c r="CA6" s="4">
        <v>32.5</v>
      </c>
      <c r="CB6" s="4">
        <v>31.8</v>
      </c>
      <c r="CC6" s="4">
        <v>35.4</v>
      </c>
      <c r="CD6" s="4">
        <v>38.6</v>
      </c>
      <c r="CE6" s="4">
        <v>42.1</v>
      </c>
      <c r="CF6" s="6">
        <v>62.8</v>
      </c>
      <c r="CG6" s="6">
        <v>65.5</v>
      </c>
      <c r="CH6" s="4">
        <v>24.5</v>
      </c>
      <c r="CI6" s="4">
        <v>25.2</v>
      </c>
      <c r="CJ6" s="4">
        <v>28.6</v>
      </c>
      <c r="CK6" s="4">
        <v>30.2</v>
      </c>
      <c r="CL6" s="4">
        <v>32.5</v>
      </c>
      <c r="CM6" s="4">
        <v>29.8</v>
      </c>
      <c r="CN6" s="4">
        <v>28.4</v>
      </c>
      <c r="CO6" s="4">
        <v>31.2</v>
      </c>
      <c r="CP6" s="4">
        <v>34.6</v>
      </c>
      <c r="CQ6" s="6">
        <v>41.2</v>
      </c>
      <c r="CR6" s="6">
        <v>43.5</v>
      </c>
      <c r="CS6" s="4">
        <v>39.8</v>
      </c>
      <c r="CT6" s="4">
        <v>22.4</v>
      </c>
      <c r="CU6" s="4">
        <v>22.8</v>
      </c>
      <c r="CV6" s="4">
        <v>25.1</v>
      </c>
      <c r="CW6" s="4">
        <v>26.8</v>
      </c>
      <c r="CX6" s="4">
        <v>29.5</v>
      </c>
      <c r="CY6" s="4">
        <v>26.2</v>
      </c>
      <c r="CZ6" s="4">
        <v>25.4</v>
      </c>
      <c r="DA6" s="4">
        <v>27.8</v>
      </c>
      <c r="DB6" s="4">
        <v>31.2</v>
      </c>
      <c r="DC6" s="6">
        <v>38.4</v>
      </c>
      <c r="DD6" s="6">
        <v>40.5</v>
      </c>
      <c r="DE6" s="4">
        <v>35.8</v>
      </c>
      <c r="DF6" s="4">
        <v>25.4</v>
      </c>
      <c r="DG6" s="4">
        <v>28.6</v>
      </c>
      <c r="DH6" s="4">
        <v>32.5</v>
      </c>
      <c r="DI6" s="4">
        <v>35.8</v>
      </c>
      <c r="DJ6" s="4">
        <v>39.2</v>
      </c>
      <c r="DK6" s="4">
        <v>35.5</v>
      </c>
      <c r="DL6" s="4">
        <v>34.2</v>
      </c>
      <c r="DM6" s="4">
        <v>37.6</v>
      </c>
      <c r="DN6" s="4">
        <v>41.5</v>
      </c>
      <c r="DO6" s="6">
        <v>49.8</v>
      </c>
      <c r="DP6" s="6">
        <v>53.4</v>
      </c>
      <c r="DQ6" s="4">
        <v>46.2</v>
      </c>
      <c r="DR6" s="4">
        <v>29.5</v>
      </c>
      <c r="DS6" s="4">
        <v>33.8</v>
      </c>
      <c r="DT6" s="4">
        <v>42.1</v>
      </c>
      <c r="DU6" s="4">
        <v>48.5</v>
      </c>
      <c r="DV6" s="4">
        <v>52.4</v>
      </c>
      <c r="DW6" s="4">
        <v>46.2</v>
      </c>
      <c r="DX6" s="4">
        <v>44.8</v>
      </c>
      <c r="DY6" s="4">
        <v>48.6</v>
      </c>
      <c r="DZ6" s="4">
        <v>55.4</v>
      </c>
      <c r="EA6" s="6">
        <v>68.2</v>
      </c>
      <c r="EB6" s="6">
        <v>72.5</v>
      </c>
      <c r="EC6" s="4">
        <v>58.4</v>
      </c>
      <c r="ED6" s="4">
        <v>45.2</v>
      </c>
      <c r="EE6" s="4">
        <v>48.6</v>
      </c>
      <c r="EF6" s="6">
        <v>62.4</v>
      </c>
      <c r="EG6" s="4">
        <v>58.5</v>
      </c>
      <c r="EH6" s="4">
        <v>56.2</v>
      </c>
      <c r="EI6" s="4">
        <v>50.8</v>
      </c>
      <c r="EJ6" s="4">
        <v>48.5</v>
      </c>
      <c r="EK6" s="4">
        <v>52.1</v>
      </c>
      <c r="EL6" s="4">
        <v>58.6</v>
      </c>
      <c r="EM6" s="6">
        <v>74.2</v>
      </c>
      <c r="EN6" s="6">
        <v>78.5</v>
      </c>
      <c r="EO6" s="4">
        <v>62.1</v>
      </c>
      <c r="EP6" s="4">
        <v>40.5</v>
      </c>
      <c r="EQ6" s="4">
        <v>42.8</v>
      </c>
      <c r="ER6" s="4">
        <v>52.4</v>
      </c>
      <c r="ES6" s="4">
        <v>55.6</v>
      </c>
      <c r="ET6" s="4">
        <v>51.2</v>
      </c>
      <c r="EU6" s="4">
        <v>46.8</v>
      </c>
      <c r="EV6" s="4">
        <v>45.4</v>
      </c>
      <c r="EW6" s="4">
        <v>48.2</v>
      </c>
      <c r="EX6" s="4">
        <v>53.5</v>
      </c>
      <c r="EY6" s="6">
        <v>65.8</v>
      </c>
      <c r="EZ6" s="6">
        <v>70.2</v>
      </c>
      <c r="FA6" s="4">
        <v>52.5</v>
      </c>
      <c r="FB6" s="4">
        <v>48.2</v>
      </c>
      <c r="FC6" s="4">
        <v>52.4</v>
      </c>
      <c r="FD6" s="6">
        <v>68.6</v>
      </c>
      <c r="FE6" s="6">
        <v>70.5</v>
      </c>
      <c r="FF6" s="4">
        <v>65.2</v>
      </c>
      <c r="FG6" s="4">
        <v>58.4</v>
      </c>
      <c r="FH6" s="4">
        <v>55.8</v>
      </c>
      <c r="FI6" s="4">
        <v>60.2</v>
      </c>
      <c r="FJ6" s="4">
        <v>65.5</v>
      </c>
      <c r="FK6" s="6">
        <v>78.4</v>
      </c>
      <c r="FL6" s="6">
        <v>82.6</v>
      </c>
      <c r="FM6" s="4">
        <v>68.2</v>
      </c>
      <c r="FN6" s="4">
        <v>42.8</v>
      </c>
      <c r="FO6" s="4">
        <v>45.4</v>
      </c>
      <c r="FP6" s="4">
        <v>52.6</v>
      </c>
      <c r="FQ6" s="4">
        <v>58.2</v>
      </c>
      <c r="FR6" s="4">
        <v>54.5</v>
      </c>
      <c r="FS6" s="4">
        <v>48.6</v>
      </c>
      <c r="FT6" s="4">
        <v>46.2</v>
      </c>
      <c r="FU6" s="4">
        <v>49.5</v>
      </c>
      <c r="FV6" s="4">
        <v>55.4</v>
      </c>
      <c r="FW6" s="6">
        <v>68.5</v>
      </c>
      <c r="FX6" s="6">
        <v>74.2</v>
      </c>
      <c r="FY6" s="6">
        <v>78.6</v>
      </c>
      <c r="FZ6" s="6">
        <v>62.5</v>
      </c>
      <c r="GA6" s="4">
        <v>52.4</v>
      </c>
      <c r="GB6" s="4">
        <v>48.6</v>
      </c>
      <c r="GC6" s="4">
        <v>42.1</v>
      </c>
      <c r="GD6" s="4">
        <v>39.8</v>
      </c>
      <c r="GE6" s="4">
        <v>35.5</v>
      </c>
      <c r="GF6" s="4">
        <v>34.2</v>
      </c>
      <c r="GG6" s="4">
        <v>38.6</v>
      </c>
      <c r="GH6" s="4">
        <v>42.5</v>
      </c>
      <c r="GI6" s="6">
        <v>52.4</v>
      </c>
      <c r="GJ6" s="6">
        <v>58.6</v>
      </c>
      <c r="GK6" s="4">
        <v>46.5</v>
      </c>
      <c r="GL6" s="4">
        <v>28.6</v>
      </c>
      <c r="GM6" s="4">
        <v>29.5</v>
      </c>
      <c r="GN6" s="4">
        <v>32.8</v>
      </c>
      <c r="GO6" s="4">
        <v>35.1</v>
      </c>
      <c r="GP6" s="4">
        <v>31.4</v>
      </c>
      <c r="GQ6" s="4">
        <v>28.2</v>
      </c>
      <c r="GR6" s="4">
        <v>27.5</v>
      </c>
      <c r="GS6" s="4">
        <v>29.8</v>
      </c>
      <c r="GT6" s="6">
        <v>58.6</v>
      </c>
      <c r="GU6" s="6">
        <v>52.4</v>
      </c>
      <c r="GV6" s="6">
        <v>56.8</v>
      </c>
      <c r="GW6" s="4">
        <v>38.5</v>
      </c>
      <c r="GX6" s="4">
        <v>22.1</v>
      </c>
      <c r="GY6" s="4">
        <v>22.5</v>
      </c>
      <c r="GZ6" s="4">
        <v>25.8</v>
      </c>
      <c r="HA6" s="4">
        <v>26.4</v>
      </c>
      <c r="HB6" s="4">
        <v>28.2</v>
      </c>
      <c r="HC6" s="4">
        <v>25.1</v>
      </c>
      <c r="HD6" s="4">
        <v>24.2</v>
      </c>
      <c r="HE6" s="4">
        <v>26.5</v>
      </c>
      <c r="HF6" s="4">
        <v>28.1</v>
      </c>
      <c r="HG6" s="6">
        <v>35.4</v>
      </c>
      <c r="HH6" s="6">
        <v>38.8</v>
      </c>
      <c r="HI6" s="4">
        <v>30.2</v>
      </c>
      <c r="HJ6" s="4">
        <v>20.4</v>
      </c>
      <c r="HK6" s="4">
        <v>20.8</v>
      </c>
      <c r="HL6" s="4">
        <v>23.5</v>
      </c>
      <c r="HM6" s="4">
        <v>24.2</v>
      </c>
      <c r="HN6" s="4">
        <v>26.8</v>
      </c>
      <c r="HO6" s="4">
        <v>22.5</v>
      </c>
      <c r="HP6" s="4">
        <v>21.8</v>
      </c>
      <c r="HQ6" s="4">
        <v>24.6</v>
      </c>
      <c r="HR6" s="4">
        <v>27.2</v>
      </c>
      <c r="HS6" s="6">
        <v>34.1</v>
      </c>
      <c r="HT6" s="6">
        <v>36.5</v>
      </c>
      <c r="HU6" s="6">
        <v>38.2</v>
      </c>
      <c r="HV6" s="4">
        <v>22.5</v>
      </c>
      <c r="HW6" s="4">
        <v>23.1</v>
      </c>
      <c r="HX6" s="4">
        <v>26.4</v>
      </c>
      <c r="HY6" s="4">
        <v>28.2</v>
      </c>
      <c r="HZ6" s="4">
        <v>30.5</v>
      </c>
      <c r="IA6" s="4">
        <v>27.4</v>
      </c>
      <c r="IB6" s="4">
        <v>26.8</v>
      </c>
      <c r="IC6" s="4">
        <v>29.5</v>
      </c>
      <c r="ID6" s="4">
        <v>32.6</v>
      </c>
      <c r="IE6" s="6">
        <v>42.4</v>
      </c>
      <c r="IF6" s="6">
        <v>45.8</v>
      </c>
      <c r="IG6" s="4">
        <v>41.2</v>
      </c>
      <c r="IH6" s="4">
        <v>28.5</v>
      </c>
      <c r="II6" s="4">
        <v>30.2</v>
      </c>
      <c r="IJ6" s="4">
        <v>38.6</v>
      </c>
      <c r="IK6" s="4">
        <v>41.2</v>
      </c>
      <c r="IL6" s="4">
        <v>43.5</v>
      </c>
      <c r="IM6" s="4">
        <v>39.4</v>
      </c>
      <c r="IN6" s="4">
        <v>37.8</v>
      </c>
      <c r="IO6" s="4">
        <v>42.5</v>
      </c>
      <c r="IP6" s="4">
        <v>46.8</v>
      </c>
      <c r="IQ6" s="6">
        <v>58.2</v>
      </c>
      <c r="IR6" s="6">
        <v>64.5</v>
      </c>
      <c r="IS6" s="4">
        <v>52.1</v>
      </c>
      <c r="IT6" s="4">
        <v>38.5</v>
      </c>
      <c r="IU6" s="4">
        <v>42.6</v>
      </c>
      <c r="IV6" s="6">
        <v>55.4</v>
      </c>
      <c r="IW6" s="4">
        <v>52.8</v>
      </c>
      <c r="IX6" s="4">
        <v>49.2</v>
      </c>
      <c r="IY6" s="4">
        <v>45.5</v>
      </c>
      <c r="IZ6" s="4">
        <v>43.8</v>
      </c>
      <c r="JA6" s="4">
        <v>48.2</v>
      </c>
      <c r="JB6" s="4">
        <v>56.5</v>
      </c>
      <c r="JC6" s="6">
        <v>72.4</v>
      </c>
      <c r="JD6" s="6">
        <v>78.6</v>
      </c>
      <c r="JE6" s="4">
        <v>64.2</v>
      </c>
      <c r="JF6" s="4">
        <v>46.2</v>
      </c>
      <c r="JG6" s="4">
        <v>58.4</v>
      </c>
      <c r="JH6" s="6">
        <v>74.5</v>
      </c>
      <c r="JI6" s="4">
        <v>72.1</v>
      </c>
      <c r="JJ6" s="4">
        <v>68.4</v>
      </c>
      <c r="JK6" s="4">
        <v>55.2</v>
      </c>
      <c r="JL6" s="4">
        <v>52.8</v>
      </c>
      <c r="JM6" s="4">
        <v>56.5</v>
      </c>
      <c r="JN6" s="4">
        <v>64.2</v>
      </c>
      <c r="JO6" s="6">
        <v>85.6</v>
      </c>
      <c r="JP6" s="6">
        <v>92.4</v>
      </c>
      <c r="JQ6" s="4">
        <v>76.5</v>
      </c>
      <c r="JR6" s="4">
        <v>58.6</v>
      </c>
      <c r="JS6" s="4">
        <v>62.4</v>
      </c>
      <c r="JT6" s="6">
        <v>78.2</v>
      </c>
      <c r="JU6" s="4">
        <v>76.5</v>
      </c>
      <c r="JV6" s="6">
        <v>84.4</v>
      </c>
      <c r="JW6" s="4">
        <v>68.2</v>
      </c>
      <c r="JX6" s="4">
        <v>65.5</v>
      </c>
      <c r="JY6" s="4">
        <v>72.8</v>
      </c>
      <c r="JZ6" s="4">
        <v>82.1</v>
      </c>
      <c r="KA6" s="6">
        <v>94.6</v>
      </c>
      <c r="KB6" s="6">
        <v>98.8</v>
      </c>
      <c r="KC6" s="4">
        <v>85.2</v>
      </c>
      <c r="KD6" s="6">
        <v>68.2</v>
      </c>
      <c r="KE6" s="4">
        <v>72.5</v>
      </c>
      <c r="KF6" s="6">
        <v>88.4</v>
      </c>
      <c r="KG6" s="4">
        <v>85.1</v>
      </c>
      <c r="KH6" s="6">
        <v>92.6</v>
      </c>
      <c r="KI6" s="4">
        <v>76.8</v>
      </c>
      <c r="KJ6" s="4">
        <v>74.2</v>
      </c>
      <c r="KK6" s="4">
        <v>82.5</v>
      </c>
      <c r="KL6" s="4">
        <v>89.6</v>
      </c>
      <c r="KM6" s="6">
        <v>102.4</v>
      </c>
      <c r="KN6" s="6">
        <v>108.5</v>
      </c>
      <c r="KO6" s="4">
        <v>92.1</v>
      </c>
    </row>
    <row r="7" s="7" customFormat="1" ht="29.25" spans="1:301">
      <c r="A7" s="10" t="s">
        <v>2447</v>
      </c>
      <c r="B7">
        <v>34.2</v>
      </c>
      <c r="C7">
        <v>36.5</v>
      </c>
      <c r="D7">
        <v>41</v>
      </c>
      <c r="E7">
        <v>45.8</v>
      </c>
      <c r="F7">
        <v>51.2</v>
      </c>
      <c r="G7">
        <v>58.4</v>
      </c>
      <c r="H7">
        <v>62.5</v>
      </c>
      <c r="I7">
        <v>59.2</v>
      </c>
      <c r="J7">
        <v>51</v>
      </c>
      <c r="K7">
        <v>42.5</v>
      </c>
      <c r="L7">
        <v>36.8</v>
      </c>
      <c r="M7">
        <v>34.5</v>
      </c>
      <c r="N7">
        <v>35.8</v>
      </c>
      <c r="O7">
        <v>38.2</v>
      </c>
      <c r="P7">
        <v>43.5</v>
      </c>
      <c r="Q7">
        <v>49.2</v>
      </c>
      <c r="R7">
        <v>55.8</v>
      </c>
      <c r="S7">
        <v>64.2</v>
      </c>
      <c r="T7">
        <v>71.5</v>
      </c>
      <c r="U7">
        <v>65.5</v>
      </c>
      <c r="V7">
        <v>54.8</v>
      </c>
      <c r="W7">
        <v>46.5</v>
      </c>
      <c r="X7">
        <v>39.2</v>
      </c>
      <c r="Y7">
        <v>37</v>
      </c>
      <c r="Z7">
        <v>35.2</v>
      </c>
      <c r="AA7">
        <v>37.5</v>
      </c>
      <c r="AB7">
        <v>42.8</v>
      </c>
      <c r="AC7">
        <v>48.5</v>
      </c>
      <c r="AD7">
        <v>54.2</v>
      </c>
      <c r="AE7">
        <v>62.5</v>
      </c>
      <c r="AF7">
        <v>70.8</v>
      </c>
      <c r="AG7">
        <v>63.4</v>
      </c>
      <c r="AH7">
        <v>52.5</v>
      </c>
      <c r="AI7">
        <v>45.2</v>
      </c>
      <c r="AJ7">
        <v>28.5</v>
      </c>
      <c r="AK7">
        <v>33.2</v>
      </c>
      <c r="AL7">
        <v>36.5</v>
      </c>
      <c r="AM7">
        <v>38.4</v>
      </c>
      <c r="AN7">
        <v>44.2</v>
      </c>
      <c r="AO7">
        <v>49.8</v>
      </c>
      <c r="AP7">
        <v>56.2</v>
      </c>
      <c r="AQ7">
        <v>63.5</v>
      </c>
      <c r="AR7">
        <v>69.2</v>
      </c>
      <c r="AS7">
        <v>62.4</v>
      </c>
      <c r="AT7">
        <v>51.5</v>
      </c>
      <c r="AU7">
        <v>45.8</v>
      </c>
      <c r="AV7">
        <v>39.5</v>
      </c>
      <c r="AW7">
        <v>36.2</v>
      </c>
      <c r="AX7">
        <v>35.2</v>
      </c>
      <c r="AY7">
        <v>37.8</v>
      </c>
      <c r="AZ7">
        <v>43</v>
      </c>
      <c r="BA7">
        <v>48.2</v>
      </c>
      <c r="BB7">
        <v>54.5</v>
      </c>
      <c r="BC7">
        <v>61.5</v>
      </c>
      <c r="BD7">
        <v>67.5</v>
      </c>
      <c r="BE7">
        <v>61.2</v>
      </c>
      <c r="BF7">
        <v>48.5</v>
      </c>
      <c r="BG7">
        <v>44.5</v>
      </c>
      <c r="BH7">
        <v>38.2</v>
      </c>
      <c r="BI7">
        <v>35.5</v>
      </c>
      <c r="BJ7">
        <v>33.5</v>
      </c>
      <c r="BK7">
        <v>35.2</v>
      </c>
      <c r="BL7">
        <v>39.8</v>
      </c>
      <c r="BM7">
        <v>45.2</v>
      </c>
      <c r="BN7">
        <v>51.2</v>
      </c>
      <c r="BO7">
        <v>59.5</v>
      </c>
      <c r="BP7">
        <v>65.2</v>
      </c>
      <c r="BQ7">
        <v>58.2</v>
      </c>
      <c r="BR7">
        <v>46.5</v>
      </c>
      <c r="BS7">
        <v>41.5</v>
      </c>
      <c r="BT7">
        <v>36.2</v>
      </c>
      <c r="BU7">
        <v>33.8</v>
      </c>
      <c r="BV7">
        <v>32.8</v>
      </c>
      <c r="BW7">
        <v>34.5</v>
      </c>
      <c r="BX7">
        <v>38.2</v>
      </c>
      <c r="BY7">
        <v>43.5</v>
      </c>
      <c r="BZ7">
        <v>49.5</v>
      </c>
      <c r="CA7">
        <v>56.8</v>
      </c>
      <c r="CB7">
        <v>61.2</v>
      </c>
      <c r="CC7">
        <v>54.2</v>
      </c>
      <c r="CD7">
        <v>44.5</v>
      </c>
      <c r="CE7">
        <v>39.2</v>
      </c>
      <c r="CF7">
        <v>34.2</v>
      </c>
      <c r="CG7">
        <v>31.5</v>
      </c>
      <c r="CH7">
        <v>31.5</v>
      </c>
      <c r="CI7">
        <v>33.2</v>
      </c>
      <c r="CJ7">
        <v>36.5</v>
      </c>
      <c r="CK7">
        <v>41.5</v>
      </c>
      <c r="CL7">
        <v>47.2</v>
      </c>
      <c r="CM7">
        <v>54.5</v>
      </c>
      <c r="CN7">
        <v>58.5</v>
      </c>
      <c r="CO7">
        <v>51.2</v>
      </c>
      <c r="CP7">
        <v>42.4</v>
      </c>
      <c r="CQ7">
        <v>37.5</v>
      </c>
      <c r="CR7">
        <v>32.5</v>
      </c>
      <c r="CS7">
        <v>30.5</v>
      </c>
      <c r="CT7">
        <v>30.8</v>
      </c>
      <c r="CU7">
        <v>32.5</v>
      </c>
      <c r="CV7">
        <v>35.8</v>
      </c>
      <c r="CW7">
        <v>40.2</v>
      </c>
      <c r="CX7">
        <v>45.8</v>
      </c>
      <c r="CY7">
        <v>53.2</v>
      </c>
      <c r="CZ7">
        <v>57.5</v>
      </c>
      <c r="DA7">
        <v>50.5</v>
      </c>
      <c r="DB7">
        <v>41.5</v>
      </c>
      <c r="DC7">
        <v>36.8</v>
      </c>
      <c r="DD7">
        <v>31.8</v>
      </c>
      <c r="DE7">
        <v>30.2</v>
      </c>
      <c r="DF7">
        <v>31.2</v>
      </c>
      <c r="DG7">
        <v>33.5</v>
      </c>
      <c r="DH7">
        <v>36.8</v>
      </c>
      <c r="DI7">
        <v>42.5</v>
      </c>
      <c r="DJ7">
        <v>48.5</v>
      </c>
      <c r="DK7">
        <v>56.2</v>
      </c>
      <c r="DL7">
        <v>60.5</v>
      </c>
      <c r="DM7">
        <v>53.5</v>
      </c>
      <c r="DN7">
        <v>44.2</v>
      </c>
      <c r="DO7">
        <v>38.5</v>
      </c>
      <c r="DP7">
        <v>33.2</v>
      </c>
      <c r="DQ7">
        <v>31.8</v>
      </c>
      <c r="DR7">
        <v>32.5</v>
      </c>
      <c r="DS7">
        <v>34.8</v>
      </c>
      <c r="DT7">
        <v>38.5</v>
      </c>
      <c r="DU7">
        <v>45.2</v>
      </c>
      <c r="DV7">
        <v>52.4</v>
      </c>
      <c r="DW7">
        <v>60.5</v>
      </c>
      <c r="DX7">
        <v>66.2</v>
      </c>
      <c r="DY7">
        <v>58.5</v>
      </c>
      <c r="DZ7">
        <v>48.8</v>
      </c>
      <c r="EA7">
        <v>42.5</v>
      </c>
      <c r="EB7">
        <v>36.5</v>
      </c>
      <c r="EC7">
        <v>34.2</v>
      </c>
      <c r="ED7">
        <v>34.5</v>
      </c>
      <c r="EE7">
        <v>36.2</v>
      </c>
      <c r="EF7">
        <v>41.2</v>
      </c>
      <c r="EG7">
        <v>48.5</v>
      </c>
      <c r="EH7">
        <v>55.8</v>
      </c>
      <c r="EI7">
        <v>64.2</v>
      </c>
      <c r="EJ7">
        <v>70.5</v>
      </c>
      <c r="EK7">
        <v>62.5</v>
      </c>
      <c r="EL7">
        <v>51.2</v>
      </c>
      <c r="EM7">
        <v>44.5</v>
      </c>
      <c r="EN7">
        <v>38.8</v>
      </c>
      <c r="EO7">
        <v>36.5</v>
      </c>
      <c r="EP7">
        <v>35.5</v>
      </c>
      <c r="EQ7">
        <v>37.2</v>
      </c>
      <c r="ER7">
        <v>42.5</v>
      </c>
      <c r="ES7">
        <v>49.2</v>
      </c>
      <c r="ET7">
        <v>56.5</v>
      </c>
      <c r="EU7">
        <v>65.5</v>
      </c>
      <c r="EV7">
        <v>71.8</v>
      </c>
      <c r="EW7">
        <v>64.2</v>
      </c>
      <c r="EX7">
        <v>52.4</v>
      </c>
      <c r="EY7">
        <v>46.2</v>
      </c>
      <c r="EZ7">
        <v>39.5</v>
      </c>
      <c r="FA7">
        <v>36.8</v>
      </c>
      <c r="FB7">
        <v>36.2</v>
      </c>
      <c r="FC7">
        <v>38.5</v>
      </c>
      <c r="FD7">
        <v>43.2</v>
      </c>
      <c r="FE7">
        <v>49.8</v>
      </c>
      <c r="FF7">
        <v>57.5</v>
      </c>
      <c r="FG7">
        <v>66.8</v>
      </c>
      <c r="FH7">
        <v>72.5</v>
      </c>
      <c r="FI7">
        <v>65.2</v>
      </c>
      <c r="FJ7">
        <v>54.2</v>
      </c>
      <c r="FK7">
        <v>47.5</v>
      </c>
      <c r="FL7">
        <v>41.2</v>
      </c>
      <c r="FM7">
        <v>38.2</v>
      </c>
      <c r="FN7">
        <v>35.8</v>
      </c>
      <c r="FO7">
        <v>37.5</v>
      </c>
      <c r="FP7">
        <v>42.5</v>
      </c>
      <c r="FQ7">
        <v>31.2</v>
      </c>
      <c r="FR7">
        <v>48.5</v>
      </c>
      <c r="FS7">
        <v>59.2</v>
      </c>
      <c r="FT7">
        <v>68.5</v>
      </c>
      <c r="FU7">
        <v>61.5</v>
      </c>
      <c r="FV7">
        <v>51</v>
      </c>
      <c r="FW7">
        <v>45.2</v>
      </c>
      <c r="FX7">
        <v>39.2</v>
      </c>
      <c r="FY7">
        <v>36.5</v>
      </c>
      <c r="FZ7">
        <v>34.2</v>
      </c>
      <c r="GA7">
        <v>35.8</v>
      </c>
      <c r="GB7">
        <v>40.5</v>
      </c>
      <c r="GC7">
        <v>46.2</v>
      </c>
      <c r="GD7">
        <v>52.5</v>
      </c>
      <c r="GE7">
        <v>59.8</v>
      </c>
      <c r="GF7">
        <v>64.5</v>
      </c>
      <c r="GG7">
        <v>57.2</v>
      </c>
      <c r="GH7">
        <v>48.2</v>
      </c>
      <c r="GI7">
        <v>42.5</v>
      </c>
      <c r="GJ7">
        <v>36.8</v>
      </c>
      <c r="GK7">
        <v>34.5</v>
      </c>
      <c r="GL7">
        <v>32.8</v>
      </c>
      <c r="GM7">
        <v>34.2</v>
      </c>
      <c r="GN7">
        <v>38.5</v>
      </c>
      <c r="GO7">
        <v>44.2</v>
      </c>
      <c r="GP7">
        <v>51.2</v>
      </c>
      <c r="GQ7">
        <v>58.2</v>
      </c>
      <c r="GR7">
        <v>62.5</v>
      </c>
      <c r="GS7">
        <v>54.5</v>
      </c>
      <c r="GT7">
        <v>46.5</v>
      </c>
      <c r="GU7">
        <v>32.2</v>
      </c>
      <c r="GV7">
        <v>34.5</v>
      </c>
      <c r="GW7">
        <v>31.5</v>
      </c>
      <c r="GX7">
        <v>31.5</v>
      </c>
      <c r="GY7">
        <v>32.8</v>
      </c>
      <c r="GZ7">
        <v>36.2</v>
      </c>
      <c r="HA7">
        <v>41.8</v>
      </c>
      <c r="HB7">
        <v>47.5</v>
      </c>
      <c r="HC7">
        <v>54.2</v>
      </c>
      <c r="HD7">
        <v>59.5</v>
      </c>
      <c r="HE7">
        <v>51.5</v>
      </c>
      <c r="HF7">
        <v>42.5</v>
      </c>
      <c r="HG7">
        <v>37.2</v>
      </c>
      <c r="HH7">
        <v>32.5</v>
      </c>
      <c r="HI7">
        <v>30.8</v>
      </c>
      <c r="HJ7">
        <v>30.5</v>
      </c>
      <c r="HK7">
        <v>31.8</v>
      </c>
      <c r="HL7">
        <v>34.5</v>
      </c>
      <c r="HM7">
        <v>39.2</v>
      </c>
      <c r="HN7">
        <v>44.5</v>
      </c>
      <c r="HO7">
        <v>52.5</v>
      </c>
      <c r="HP7">
        <v>56.8</v>
      </c>
      <c r="HQ7">
        <v>49.5</v>
      </c>
      <c r="HR7">
        <v>40.5</v>
      </c>
      <c r="HS7">
        <v>35.8</v>
      </c>
      <c r="HT7">
        <v>31.2</v>
      </c>
      <c r="HU7">
        <v>29.8</v>
      </c>
      <c r="HV7">
        <v>30.2</v>
      </c>
      <c r="HW7">
        <v>31.5</v>
      </c>
      <c r="HX7">
        <v>34.8</v>
      </c>
      <c r="HY7">
        <v>40.5</v>
      </c>
      <c r="HZ7">
        <v>46.2</v>
      </c>
      <c r="IA7">
        <v>53.5</v>
      </c>
      <c r="IB7">
        <v>58.2</v>
      </c>
      <c r="IC7">
        <v>51.2</v>
      </c>
      <c r="ID7">
        <v>42.2</v>
      </c>
      <c r="IE7">
        <v>36.5</v>
      </c>
      <c r="IF7">
        <v>31.8</v>
      </c>
      <c r="IG7">
        <v>30.5</v>
      </c>
      <c r="IH7">
        <v>31.2</v>
      </c>
      <c r="II7">
        <v>32.5</v>
      </c>
      <c r="IJ7">
        <v>35.8</v>
      </c>
      <c r="IK7">
        <v>42.5</v>
      </c>
      <c r="IL7">
        <v>48.8</v>
      </c>
      <c r="IM7">
        <v>56.2</v>
      </c>
      <c r="IN7">
        <v>61.5</v>
      </c>
      <c r="IO7">
        <v>54.2</v>
      </c>
      <c r="IP7">
        <v>45.8</v>
      </c>
      <c r="IQ7">
        <v>39.2</v>
      </c>
      <c r="IR7">
        <v>34.2</v>
      </c>
      <c r="IS7">
        <v>32.5</v>
      </c>
      <c r="IT7" s="11">
        <v>32.2</v>
      </c>
      <c r="IU7">
        <v>33.8</v>
      </c>
      <c r="IV7">
        <v>37.5</v>
      </c>
      <c r="IW7">
        <v>45.2</v>
      </c>
      <c r="IX7">
        <v>53.5</v>
      </c>
      <c r="IY7" s="11">
        <v>61.2</v>
      </c>
      <c r="IZ7">
        <v>68.5</v>
      </c>
      <c r="JA7">
        <v>60.5</v>
      </c>
      <c r="JB7">
        <v>50.8</v>
      </c>
      <c r="JC7">
        <v>43.2</v>
      </c>
      <c r="JD7">
        <v>38.2</v>
      </c>
      <c r="JE7">
        <v>35.5</v>
      </c>
      <c r="JF7">
        <v>33.5</v>
      </c>
      <c r="JG7">
        <v>35.2</v>
      </c>
      <c r="JH7">
        <v>39.5</v>
      </c>
      <c r="JI7">
        <v>47.5</v>
      </c>
      <c r="JJ7">
        <v>56.2</v>
      </c>
      <c r="JK7">
        <v>65.5</v>
      </c>
      <c r="JL7" s="11">
        <v>71.5</v>
      </c>
      <c r="JM7">
        <v>63.2</v>
      </c>
      <c r="JN7">
        <v>52.5</v>
      </c>
      <c r="JO7">
        <v>45.8</v>
      </c>
      <c r="JP7">
        <v>39.8</v>
      </c>
      <c r="JQ7">
        <v>37.2</v>
      </c>
      <c r="JR7">
        <v>34.2</v>
      </c>
      <c r="JS7">
        <v>36.5</v>
      </c>
      <c r="JT7">
        <v>41.2</v>
      </c>
      <c r="JU7">
        <v>48.8</v>
      </c>
      <c r="JV7">
        <v>30.5</v>
      </c>
      <c r="JW7">
        <v>58.5</v>
      </c>
      <c r="JX7">
        <v>73.5</v>
      </c>
      <c r="JY7">
        <v>65.8</v>
      </c>
      <c r="JZ7">
        <v>54.5</v>
      </c>
      <c r="KA7">
        <v>48.2</v>
      </c>
      <c r="KB7">
        <v>42.5</v>
      </c>
      <c r="KC7">
        <v>38.8</v>
      </c>
      <c r="KD7">
        <v>35.5</v>
      </c>
      <c r="KE7">
        <v>37.2</v>
      </c>
      <c r="KF7">
        <v>42.5</v>
      </c>
      <c r="KG7">
        <v>49.5</v>
      </c>
      <c r="KH7">
        <v>58.5</v>
      </c>
      <c r="KI7">
        <v>68.2</v>
      </c>
      <c r="KJ7">
        <v>75.2</v>
      </c>
      <c r="KK7">
        <v>66.5</v>
      </c>
      <c r="KL7">
        <v>56.2</v>
      </c>
      <c r="KM7">
        <v>49.8</v>
      </c>
      <c r="KN7">
        <v>43.5</v>
      </c>
      <c r="KO7">
        <v>39.5</v>
      </c>
    </row>
    <row r="8" s="7" customFormat="1" ht="15.75" spans="1:301">
      <c r="A8" s="10" t="s">
        <v>2448</v>
      </c>
      <c r="B8">
        <v>48.5</v>
      </c>
      <c r="C8">
        <v>46.2</v>
      </c>
      <c r="D8">
        <v>42.5</v>
      </c>
      <c r="E8">
        <v>38.4</v>
      </c>
      <c r="F8">
        <v>31.5</v>
      </c>
      <c r="G8">
        <v>24.2</v>
      </c>
      <c r="H8">
        <v>19.8</v>
      </c>
      <c r="I8">
        <v>21.5</v>
      </c>
      <c r="J8">
        <v>32.4</v>
      </c>
      <c r="K8">
        <v>41</v>
      </c>
      <c r="L8">
        <v>47.5</v>
      </c>
      <c r="M8">
        <v>49.2</v>
      </c>
      <c r="N8">
        <v>51.2</v>
      </c>
      <c r="O8">
        <v>48.8</v>
      </c>
      <c r="P8">
        <v>44.5</v>
      </c>
      <c r="Q8">
        <v>36.8</v>
      </c>
      <c r="R8">
        <v>29.2</v>
      </c>
      <c r="S8">
        <v>21.5</v>
      </c>
      <c r="T8">
        <v>17.2</v>
      </c>
      <c r="U8">
        <v>19.5</v>
      </c>
      <c r="V8">
        <v>30.5</v>
      </c>
      <c r="W8">
        <v>42.8</v>
      </c>
      <c r="X8">
        <v>52.5</v>
      </c>
      <c r="Y8">
        <v>54</v>
      </c>
      <c r="Z8">
        <v>50.8</v>
      </c>
      <c r="AA8">
        <v>48.2</v>
      </c>
      <c r="AB8">
        <v>43.5</v>
      </c>
      <c r="AC8">
        <v>37.2</v>
      </c>
      <c r="AD8">
        <v>30.5</v>
      </c>
      <c r="AE8">
        <v>22.4</v>
      </c>
      <c r="AF8">
        <v>18.5</v>
      </c>
      <c r="AG8">
        <v>21.8</v>
      </c>
      <c r="AH8">
        <v>31.2</v>
      </c>
      <c r="AI8">
        <v>41.5</v>
      </c>
      <c r="AJ8">
        <v>61.5</v>
      </c>
      <c r="AK8">
        <v>54.2</v>
      </c>
      <c r="AL8">
        <v>48.5</v>
      </c>
      <c r="AM8">
        <v>46.2</v>
      </c>
      <c r="AN8">
        <v>42.5</v>
      </c>
      <c r="AO8">
        <v>35.4</v>
      </c>
      <c r="AP8">
        <v>28.8</v>
      </c>
      <c r="AQ8">
        <v>21.2</v>
      </c>
      <c r="AR8">
        <v>17.8</v>
      </c>
      <c r="AS8">
        <v>19.5</v>
      </c>
      <c r="AT8">
        <v>29.2</v>
      </c>
      <c r="AU8">
        <v>39.8</v>
      </c>
      <c r="AV8">
        <v>48.2</v>
      </c>
      <c r="AW8">
        <v>51.5</v>
      </c>
      <c r="AX8">
        <v>52.4</v>
      </c>
      <c r="AY8">
        <v>46.5</v>
      </c>
      <c r="AZ8">
        <v>42.8</v>
      </c>
      <c r="BA8">
        <v>34.2</v>
      </c>
      <c r="BB8">
        <v>26.5</v>
      </c>
      <c r="BC8">
        <v>20.5</v>
      </c>
      <c r="BD8">
        <v>16.2</v>
      </c>
      <c r="BE8">
        <v>18.8</v>
      </c>
      <c r="BF8">
        <v>35.2</v>
      </c>
      <c r="BG8">
        <v>40.5</v>
      </c>
      <c r="BH8">
        <v>46.8</v>
      </c>
      <c r="BI8">
        <v>50.2</v>
      </c>
      <c r="BJ8">
        <v>48.5</v>
      </c>
      <c r="BK8">
        <v>42.4</v>
      </c>
      <c r="BL8">
        <v>39.2</v>
      </c>
      <c r="BM8">
        <v>28.5</v>
      </c>
      <c r="BN8">
        <v>21.5</v>
      </c>
      <c r="BO8">
        <v>18.2</v>
      </c>
      <c r="BP8">
        <v>14.5</v>
      </c>
      <c r="BQ8">
        <v>16.2</v>
      </c>
      <c r="BR8">
        <v>26.5</v>
      </c>
      <c r="BS8">
        <v>35.2</v>
      </c>
      <c r="BT8">
        <v>41.5</v>
      </c>
      <c r="BU8">
        <v>45.2</v>
      </c>
      <c r="BV8">
        <v>41.2</v>
      </c>
      <c r="BW8">
        <v>38.5</v>
      </c>
      <c r="BX8">
        <v>35.8</v>
      </c>
      <c r="BY8">
        <v>24.5</v>
      </c>
      <c r="BZ8">
        <v>18.2</v>
      </c>
      <c r="CA8">
        <v>13.5</v>
      </c>
      <c r="CB8">
        <v>11.2</v>
      </c>
      <c r="CC8">
        <v>12.8</v>
      </c>
      <c r="CD8">
        <v>21.5</v>
      </c>
      <c r="CE8">
        <v>31.2</v>
      </c>
      <c r="CF8">
        <v>36.5</v>
      </c>
      <c r="CG8">
        <v>39.8</v>
      </c>
      <c r="CH8">
        <v>38.2</v>
      </c>
      <c r="CI8">
        <v>35.5</v>
      </c>
      <c r="CJ8">
        <v>34.2</v>
      </c>
      <c r="CK8">
        <v>21.5</v>
      </c>
      <c r="CL8">
        <v>16.2</v>
      </c>
      <c r="CM8">
        <v>11.5</v>
      </c>
      <c r="CN8">
        <v>9.5</v>
      </c>
      <c r="CO8">
        <v>10.8</v>
      </c>
      <c r="CP8">
        <v>19.5</v>
      </c>
      <c r="CQ8">
        <v>28.5</v>
      </c>
      <c r="CR8">
        <v>33.8</v>
      </c>
      <c r="CS8">
        <v>36.5</v>
      </c>
      <c r="CT8">
        <v>36.5</v>
      </c>
      <c r="CU8">
        <v>34.2</v>
      </c>
      <c r="CV8">
        <v>33.5</v>
      </c>
      <c r="CW8">
        <v>20.5</v>
      </c>
      <c r="CX8">
        <v>15.8</v>
      </c>
      <c r="CY8">
        <v>11</v>
      </c>
      <c r="CZ8">
        <v>9</v>
      </c>
      <c r="DA8">
        <v>9.8</v>
      </c>
      <c r="DB8">
        <v>18.5</v>
      </c>
      <c r="DC8">
        <v>27.2</v>
      </c>
      <c r="DD8">
        <v>32.5</v>
      </c>
      <c r="DE8">
        <v>35.2</v>
      </c>
      <c r="DF8">
        <v>37.5</v>
      </c>
      <c r="DG8">
        <v>36.2</v>
      </c>
      <c r="DH8">
        <v>35.2</v>
      </c>
      <c r="DI8">
        <v>24.2</v>
      </c>
      <c r="DJ8">
        <v>18.8</v>
      </c>
      <c r="DK8">
        <v>14.2</v>
      </c>
      <c r="DL8">
        <v>11.5</v>
      </c>
      <c r="DM8">
        <v>12.5</v>
      </c>
      <c r="DN8">
        <v>22.4</v>
      </c>
      <c r="DO8">
        <v>31.5</v>
      </c>
      <c r="DP8">
        <v>36.8</v>
      </c>
      <c r="DQ8">
        <v>39.2</v>
      </c>
      <c r="DR8">
        <v>41.5</v>
      </c>
      <c r="DS8">
        <v>43.2</v>
      </c>
      <c r="DT8">
        <v>41</v>
      </c>
      <c r="DU8">
        <v>31.5</v>
      </c>
      <c r="DV8">
        <v>24.2</v>
      </c>
      <c r="DW8">
        <v>19.5</v>
      </c>
      <c r="DX8">
        <v>15.8</v>
      </c>
      <c r="DY8">
        <v>18.2</v>
      </c>
      <c r="DZ8">
        <v>29.5</v>
      </c>
      <c r="EA8">
        <v>38.4</v>
      </c>
      <c r="EB8">
        <v>45.2</v>
      </c>
      <c r="EC8">
        <v>48.8</v>
      </c>
      <c r="ED8">
        <v>48.8</v>
      </c>
      <c r="EE8">
        <v>50.5</v>
      </c>
      <c r="EF8">
        <v>46.5</v>
      </c>
      <c r="EG8">
        <v>38.2</v>
      </c>
      <c r="EH8">
        <v>29.5</v>
      </c>
      <c r="EI8">
        <v>21.5</v>
      </c>
      <c r="EJ8">
        <v>18.2</v>
      </c>
      <c r="EK8">
        <v>19.8</v>
      </c>
      <c r="EL8">
        <v>31.2</v>
      </c>
      <c r="EM8">
        <v>42.8</v>
      </c>
      <c r="EN8">
        <v>49.5</v>
      </c>
      <c r="EO8">
        <v>52.5</v>
      </c>
      <c r="EP8">
        <v>51.5</v>
      </c>
      <c r="EQ8">
        <v>48.8</v>
      </c>
      <c r="ER8">
        <v>44.2</v>
      </c>
      <c r="ES8">
        <v>35.8</v>
      </c>
      <c r="ET8">
        <v>28.2</v>
      </c>
      <c r="EU8">
        <v>20.5</v>
      </c>
      <c r="EV8">
        <v>17.2</v>
      </c>
      <c r="EW8">
        <v>18.8</v>
      </c>
      <c r="EX8">
        <v>29.5</v>
      </c>
      <c r="EY8">
        <v>41.5</v>
      </c>
      <c r="EZ8">
        <v>51.2</v>
      </c>
      <c r="FA8">
        <v>54.5</v>
      </c>
      <c r="FB8">
        <v>52.5</v>
      </c>
      <c r="FC8">
        <v>54.2</v>
      </c>
      <c r="FD8">
        <v>46.8</v>
      </c>
      <c r="FE8">
        <v>38.5</v>
      </c>
      <c r="FF8">
        <v>31.2</v>
      </c>
      <c r="FG8">
        <v>22.4</v>
      </c>
      <c r="FH8">
        <v>19.5</v>
      </c>
      <c r="FI8">
        <v>21</v>
      </c>
      <c r="FJ8">
        <v>32.5</v>
      </c>
      <c r="FK8">
        <v>44.2</v>
      </c>
      <c r="FL8">
        <v>53.5</v>
      </c>
      <c r="FM8">
        <v>56.2</v>
      </c>
      <c r="FN8">
        <v>53.5</v>
      </c>
      <c r="FO8">
        <v>51.2</v>
      </c>
      <c r="FP8">
        <v>45.8</v>
      </c>
      <c r="FQ8">
        <v>64.5</v>
      </c>
      <c r="FR8">
        <v>35.2</v>
      </c>
      <c r="FS8">
        <v>24.5</v>
      </c>
      <c r="FT8">
        <v>19.2</v>
      </c>
      <c r="FU8">
        <v>20.5</v>
      </c>
      <c r="FV8">
        <v>31.8</v>
      </c>
      <c r="FW8">
        <v>42.5</v>
      </c>
      <c r="FX8">
        <v>49.5</v>
      </c>
      <c r="FY8">
        <v>51.8</v>
      </c>
      <c r="FZ8">
        <v>49.2</v>
      </c>
      <c r="GA8">
        <v>46.5</v>
      </c>
      <c r="GB8">
        <v>41.2</v>
      </c>
      <c r="GC8">
        <v>29.5</v>
      </c>
      <c r="GD8">
        <v>22.4</v>
      </c>
      <c r="GE8">
        <v>18.5</v>
      </c>
      <c r="GF8">
        <v>15.2</v>
      </c>
      <c r="GG8">
        <v>16.8</v>
      </c>
      <c r="GH8">
        <v>28.5</v>
      </c>
      <c r="GI8">
        <v>38.8</v>
      </c>
      <c r="GJ8">
        <v>43.5</v>
      </c>
      <c r="GK8">
        <v>45.8</v>
      </c>
      <c r="GL8">
        <v>42.5</v>
      </c>
      <c r="GM8">
        <v>39.8</v>
      </c>
      <c r="GN8">
        <v>36.5</v>
      </c>
      <c r="GO8">
        <v>25.2</v>
      </c>
      <c r="GP8">
        <v>19.5</v>
      </c>
      <c r="GQ8">
        <v>15.5</v>
      </c>
      <c r="GR8">
        <v>12.8</v>
      </c>
      <c r="GS8">
        <v>14.2</v>
      </c>
      <c r="GT8">
        <v>25.8</v>
      </c>
      <c r="GU8">
        <v>54.5</v>
      </c>
      <c r="GV8">
        <v>42.5</v>
      </c>
      <c r="GW8">
        <v>38.8</v>
      </c>
      <c r="GX8">
        <v>38.2</v>
      </c>
      <c r="GY8">
        <v>35.5</v>
      </c>
      <c r="GZ8">
        <v>33.8</v>
      </c>
      <c r="HA8">
        <v>21.2</v>
      </c>
      <c r="HB8">
        <v>15.5</v>
      </c>
      <c r="HC8">
        <v>11.2</v>
      </c>
      <c r="HD8">
        <v>9.2</v>
      </c>
      <c r="HE8">
        <v>10.5</v>
      </c>
      <c r="HF8">
        <v>18.8</v>
      </c>
      <c r="HG8">
        <v>28.5</v>
      </c>
      <c r="HH8">
        <v>33.2</v>
      </c>
      <c r="HI8">
        <v>35.8</v>
      </c>
      <c r="HJ8">
        <v>35.2</v>
      </c>
      <c r="HK8">
        <v>32.5</v>
      </c>
      <c r="HL8">
        <v>31.8</v>
      </c>
      <c r="HM8">
        <v>19.5</v>
      </c>
      <c r="HN8">
        <v>14.5</v>
      </c>
      <c r="HO8">
        <v>10.5</v>
      </c>
      <c r="HP8">
        <v>8.5</v>
      </c>
      <c r="HQ8">
        <v>9.2</v>
      </c>
      <c r="HR8">
        <v>16.2</v>
      </c>
      <c r="HS8">
        <v>25.5</v>
      </c>
      <c r="HT8">
        <v>31.8</v>
      </c>
      <c r="HU8">
        <v>34.2</v>
      </c>
      <c r="HV8">
        <v>34.8</v>
      </c>
      <c r="HW8">
        <v>33.2</v>
      </c>
      <c r="HX8">
        <v>32.5</v>
      </c>
      <c r="HY8">
        <v>21.2</v>
      </c>
      <c r="HZ8">
        <v>16.8</v>
      </c>
      <c r="IA8">
        <v>11.5</v>
      </c>
      <c r="IB8">
        <v>9.5</v>
      </c>
      <c r="IC8">
        <v>10.2</v>
      </c>
      <c r="ID8">
        <v>19.8</v>
      </c>
      <c r="IE8">
        <v>28.5</v>
      </c>
      <c r="IF8">
        <v>32.2</v>
      </c>
      <c r="IG8">
        <v>36.5</v>
      </c>
      <c r="IH8">
        <v>38.5</v>
      </c>
      <c r="II8">
        <v>39.2</v>
      </c>
      <c r="IJ8">
        <v>38.2</v>
      </c>
      <c r="IK8">
        <v>25.5</v>
      </c>
      <c r="IL8">
        <v>19.8</v>
      </c>
      <c r="IM8">
        <v>14.5</v>
      </c>
      <c r="IN8">
        <v>12.2</v>
      </c>
      <c r="IO8">
        <v>13.8</v>
      </c>
      <c r="IP8">
        <v>24.2</v>
      </c>
      <c r="IQ8">
        <v>36.5</v>
      </c>
      <c r="IR8">
        <v>41.5</v>
      </c>
      <c r="IS8">
        <v>44.5</v>
      </c>
      <c r="IT8" s="11">
        <v>44.5</v>
      </c>
      <c r="IU8">
        <v>46.2</v>
      </c>
      <c r="IV8">
        <v>43.5</v>
      </c>
      <c r="IW8">
        <v>35.2</v>
      </c>
      <c r="IX8">
        <v>26.5</v>
      </c>
      <c r="IY8" s="11">
        <v>18.8</v>
      </c>
      <c r="IZ8">
        <v>15.2</v>
      </c>
      <c r="JA8">
        <v>17.2</v>
      </c>
      <c r="JB8">
        <v>28.5</v>
      </c>
      <c r="JC8">
        <v>41.5</v>
      </c>
      <c r="JD8">
        <v>48.8</v>
      </c>
      <c r="JE8">
        <v>51.2</v>
      </c>
      <c r="JF8">
        <v>48.5</v>
      </c>
      <c r="JG8">
        <v>51.2</v>
      </c>
      <c r="JH8">
        <v>46.5</v>
      </c>
      <c r="JI8">
        <v>39.2</v>
      </c>
      <c r="JJ8">
        <v>31.5</v>
      </c>
      <c r="JK8">
        <v>23.8</v>
      </c>
      <c r="JL8" s="11">
        <v>19.5</v>
      </c>
      <c r="JM8">
        <v>21.2</v>
      </c>
      <c r="JN8">
        <v>33.5</v>
      </c>
      <c r="JO8">
        <v>44.5</v>
      </c>
      <c r="JP8">
        <v>52.5</v>
      </c>
      <c r="JQ8">
        <v>55.8</v>
      </c>
      <c r="JR8">
        <v>52.5</v>
      </c>
      <c r="JS8">
        <v>54.8</v>
      </c>
      <c r="JT8">
        <v>49.5</v>
      </c>
      <c r="JU8">
        <v>41.5</v>
      </c>
      <c r="JV8">
        <v>68.2</v>
      </c>
      <c r="JW8">
        <v>32.5</v>
      </c>
      <c r="JX8">
        <v>21.5</v>
      </c>
      <c r="JY8">
        <v>23.2</v>
      </c>
      <c r="JZ8">
        <v>35.8</v>
      </c>
      <c r="KA8">
        <v>47.5</v>
      </c>
      <c r="KB8">
        <v>56.2</v>
      </c>
      <c r="KC8">
        <v>59.5</v>
      </c>
      <c r="KD8">
        <v>56.8</v>
      </c>
      <c r="KE8">
        <v>59.2</v>
      </c>
      <c r="KF8">
        <v>51.5</v>
      </c>
      <c r="KG8">
        <v>44.2</v>
      </c>
      <c r="KH8">
        <v>35.5</v>
      </c>
      <c r="KI8">
        <v>25.8</v>
      </c>
      <c r="KJ8">
        <v>22.5</v>
      </c>
      <c r="KK8">
        <v>24.8</v>
      </c>
      <c r="KL8">
        <v>38.2</v>
      </c>
      <c r="KM8">
        <v>49.2</v>
      </c>
      <c r="KN8">
        <v>58.5</v>
      </c>
      <c r="KO8">
        <v>61.2</v>
      </c>
    </row>
    <row r="9" s="7" customFormat="1" ht="27.75" spans="1:301">
      <c r="A9" s="12" t="s">
        <v>2449</v>
      </c>
      <c r="B9">
        <v>42.5</v>
      </c>
      <c r="C9">
        <v>42.8</v>
      </c>
      <c r="D9">
        <v>42.2</v>
      </c>
      <c r="E9">
        <v>41.5</v>
      </c>
      <c r="F9">
        <v>40.8</v>
      </c>
      <c r="G9">
        <v>39.8</v>
      </c>
      <c r="H9">
        <v>39.2</v>
      </c>
      <c r="I9">
        <v>39.5</v>
      </c>
      <c r="J9">
        <v>40.2</v>
      </c>
      <c r="K9">
        <v>41.2</v>
      </c>
      <c r="L9">
        <v>41.8</v>
      </c>
      <c r="M9">
        <v>42.4</v>
      </c>
      <c r="N9">
        <v>41.8</v>
      </c>
      <c r="O9">
        <v>42</v>
      </c>
      <c r="P9">
        <v>41.2</v>
      </c>
      <c r="Q9">
        <v>40.5</v>
      </c>
      <c r="R9">
        <v>39.2</v>
      </c>
      <c r="S9">
        <v>38.5</v>
      </c>
      <c r="T9">
        <v>37.8</v>
      </c>
      <c r="U9">
        <v>38.2</v>
      </c>
      <c r="V9">
        <v>39</v>
      </c>
      <c r="W9">
        <v>40.2</v>
      </c>
      <c r="X9">
        <v>40.8</v>
      </c>
      <c r="Y9">
        <v>41.5</v>
      </c>
      <c r="Z9">
        <v>40.2</v>
      </c>
      <c r="AA9">
        <v>40.5</v>
      </c>
      <c r="AB9">
        <v>39.8</v>
      </c>
      <c r="AC9">
        <v>39.2</v>
      </c>
      <c r="AD9">
        <v>38</v>
      </c>
      <c r="AE9">
        <v>37.2</v>
      </c>
      <c r="AF9">
        <v>36.5</v>
      </c>
      <c r="AG9">
        <v>36.8</v>
      </c>
      <c r="AH9">
        <v>37.5</v>
      </c>
      <c r="AI9">
        <v>38.8</v>
      </c>
      <c r="AJ9">
        <v>45.5</v>
      </c>
      <c r="AK9">
        <v>40.8</v>
      </c>
      <c r="AL9">
        <v>39.2</v>
      </c>
      <c r="AM9">
        <v>39.4</v>
      </c>
      <c r="AN9">
        <v>38.8</v>
      </c>
      <c r="AO9">
        <v>38.2</v>
      </c>
      <c r="AP9">
        <v>37</v>
      </c>
      <c r="AQ9">
        <v>36.2</v>
      </c>
      <c r="AR9">
        <v>35.5</v>
      </c>
      <c r="AS9">
        <v>35.8</v>
      </c>
      <c r="AT9">
        <v>36.5</v>
      </c>
      <c r="AU9">
        <v>37.5</v>
      </c>
      <c r="AV9">
        <v>38.2</v>
      </c>
      <c r="AW9">
        <v>39</v>
      </c>
      <c r="AX9">
        <v>37.5</v>
      </c>
      <c r="AY9">
        <v>37.8</v>
      </c>
      <c r="AZ9">
        <v>37</v>
      </c>
      <c r="BA9">
        <v>36.2</v>
      </c>
      <c r="BB9">
        <v>35</v>
      </c>
      <c r="BC9">
        <v>34.2</v>
      </c>
      <c r="BD9">
        <v>33.5</v>
      </c>
      <c r="BE9">
        <v>33.8</v>
      </c>
      <c r="BF9">
        <v>34.5</v>
      </c>
      <c r="BG9">
        <v>35.5</v>
      </c>
      <c r="BH9">
        <v>36.2</v>
      </c>
      <c r="BI9">
        <v>37</v>
      </c>
      <c r="BJ9">
        <v>38.8</v>
      </c>
      <c r="BK9">
        <v>39</v>
      </c>
      <c r="BL9">
        <v>38.2</v>
      </c>
      <c r="BM9">
        <v>37.5</v>
      </c>
      <c r="BN9">
        <v>36.8</v>
      </c>
      <c r="BO9">
        <v>35.5</v>
      </c>
      <c r="BP9">
        <v>34.8</v>
      </c>
      <c r="BQ9">
        <v>35.2</v>
      </c>
      <c r="BR9">
        <v>36</v>
      </c>
      <c r="BS9">
        <v>37.2</v>
      </c>
      <c r="BT9">
        <v>37.8</v>
      </c>
      <c r="BU9">
        <v>38.5</v>
      </c>
      <c r="BV9">
        <v>37.2</v>
      </c>
      <c r="BW9">
        <v>37.5</v>
      </c>
      <c r="BX9">
        <v>36.8</v>
      </c>
      <c r="BY9">
        <v>36</v>
      </c>
      <c r="BZ9">
        <v>34.8</v>
      </c>
      <c r="CA9">
        <v>34</v>
      </c>
      <c r="CB9">
        <v>33.2</v>
      </c>
      <c r="CC9">
        <v>33.6</v>
      </c>
      <c r="CD9">
        <v>34.2</v>
      </c>
      <c r="CE9">
        <v>35.2</v>
      </c>
      <c r="CF9">
        <v>35.8</v>
      </c>
      <c r="CG9">
        <v>36.5</v>
      </c>
      <c r="CH9">
        <v>35.8</v>
      </c>
      <c r="CI9">
        <v>36</v>
      </c>
      <c r="CJ9">
        <v>35.2</v>
      </c>
      <c r="CK9">
        <v>34.5</v>
      </c>
      <c r="CL9">
        <v>33.2</v>
      </c>
      <c r="CM9">
        <v>32.2</v>
      </c>
      <c r="CN9">
        <v>31.5</v>
      </c>
      <c r="CO9">
        <v>31.8</v>
      </c>
      <c r="CP9">
        <v>32.5</v>
      </c>
      <c r="CQ9">
        <v>33.5</v>
      </c>
      <c r="CR9">
        <v>34.2</v>
      </c>
      <c r="CS9">
        <v>35</v>
      </c>
      <c r="CT9">
        <v>36.8</v>
      </c>
      <c r="CU9">
        <v>37</v>
      </c>
      <c r="CV9">
        <v>36.5</v>
      </c>
      <c r="CW9">
        <v>35.8</v>
      </c>
      <c r="CX9">
        <v>34.5</v>
      </c>
      <c r="CY9">
        <v>33.8</v>
      </c>
      <c r="CZ9">
        <v>33</v>
      </c>
      <c r="DA9">
        <v>33.4</v>
      </c>
      <c r="DB9">
        <v>34.2</v>
      </c>
      <c r="DC9">
        <v>35</v>
      </c>
      <c r="DD9">
        <v>35.8</v>
      </c>
      <c r="DE9">
        <v>36.5</v>
      </c>
      <c r="DF9">
        <v>38.5</v>
      </c>
      <c r="DG9">
        <v>38.8</v>
      </c>
      <c r="DH9">
        <v>38.2</v>
      </c>
      <c r="DI9">
        <v>37.5</v>
      </c>
      <c r="DJ9">
        <v>36.5</v>
      </c>
      <c r="DK9">
        <v>35.8</v>
      </c>
      <c r="DL9">
        <v>35.2</v>
      </c>
      <c r="DM9">
        <v>35.5</v>
      </c>
      <c r="DN9">
        <v>36.2</v>
      </c>
      <c r="DO9">
        <v>37.5</v>
      </c>
      <c r="DP9">
        <v>38.2</v>
      </c>
      <c r="DQ9">
        <v>39.2</v>
      </c>
      <c r="DR9">
        <v>41.2</v>
      </c>
      <c r="DS9">
        <v>41.5</v>
      </c>
      <c r="DT9">
        <v>40.8</v>
      </c>
      <c r="DU9">
        <v>40.2</v>
      </c>
      <c r="DV9">
        <v>39</v>
      </c>
      <c r="DW9">
        <v>38.2</v>
      </c>
      <c r="DX9">
        <v>37.5</v>
      </c>
      <c r="DY9">
        <v>37.8</v>
      </c>
      <c r="DZ9">
        <v>38.5</v>
      </c>
      <c r="EA9">
        <v>39.5</v>
      </c>
      <c r="EB9">
        <v>40.2</v>
      </c>
      <c r="EC9">
        <v>41</v>
      </c>
      <c r="ED9">
        <v>42.8</v>
      </c>
      <c r="EE9">
        <v>43.2</v>
      </c>
      <c r="EF9">
        <v>42.5</v>
      </c>
      <c r="EG9">
        <v>41.8</v>
      </c>
      <c r="EH9">
        <v>41</v>
      </c>
      <c r="EI9">
        <v>40.2</v>
      </c>
      <c r="EJ9">
        <v>39.5</v>
      </c>
      <c r="EK9">
        <v>39.8</v>
      </c>
      <c r="EL9">
        <v>40.5</v>
      </c>
      <c r="EM9">
        <v>41.5</v>
      </c>
      <c r="EN9">
        <v>42.2</v>
      </c>
      <c r="EO9">
        <v>43</v>
      </c>
      <c r="EP9">
        <v>44.5</v>
      </c>
      <c r="EQ9">
        <v>44.8</v>
      </c>
      <c r="ER9">
        <v>44</v>
      </c>
      <c r="ES9">
        <v>43.5</v>
      </c>
      <c r="ET9">
        <v>42.2</v>
      </c>
      <c r="EU9">
        <v>41.2</v>
      </c>
      <c r="EV9">
        <v>40.5</v>
      </c>
      <c r="EW9">
        <v>40.8</v>
      </c>
      <c r="EX9">
        <v>41.5</v>
      </c>
      <c r="EY9">
        <v>42.8</v>
      </c>
      <c r="EZ9">
        <v>43.5</v>
      </c>
      <c r="FA9">
        <v>44.2</v>
      </c>
      <c r="FB9">
        <v>46.2</v>
      </c>
      <c r="FC9">
        <v>46.5</v>
      </c>
      <c r="FD9">
        <v>45.8</v>
      </c>
      <c r="FE9">
        <v>45.2</v>
      </c>
      <c r="FF9">
        <v>43.8</v>
      </c>
      <c r="FG9">
        <v>42.5</v>
      </c>
      <c r="FH9">
        <v>41.8</v>
      </c>
      <c r="FI9">
        <v>42.2</v>
      </c>
      <c r="FJ9">
        <v>43</v>
      </c>
      <c r="FK9">
        <v>44.5</v>
      </c>
      <c r="FL9">
        <v>45.8</v>
      </c>
      <c r="FM9">
        <v>47</v>
      </c>
      <c r="FN9">
        <v>47.5</v>
      </c>
      <c r="FO9">
        <v>47.8</v>
      </c>
      <c r="FP9">
        <v>47</v>
      </c>
      <c r="FQ9">
        <v>46.2</v>
      </c>
      <c r="FR9">
        <v>44.5</v>
      </c>
      <c r="FS9">
        <v>43.2</v>
      </c>
      <c r="FT9">
        <v>42.5</v>
      </c>
      <c r="FU9">
        <v>43</v>
      </c>
      <c r="FV9">
        <v>44.2</v>
      </c>
      <c r="FW9">
        <v>45.8</v>
      </c>
      <c r="FX9">
        <v>46.5</v>
      </c>
      <c r="FY9">
        <v>47.2</v>
      </c>
      <c r="FZ9">
        <v>39.5</v>
      </c>
      <c r="GA9">
        <v>38.8</v>
      </c>
      <c r="GB9">
        <v>37.5</v>
      </c>
      <c r="GC9">
        <v>36.2</v>
      </c>
      <c r="GD9">
        <v>35</v>
      </c>
      <c r="GE9">
        <v>34.2</v>
      </c>
      <c r="GF9">
        <v>33.5</v>
      </c>
      <c r="GG9">
        <v>33.8</v>
      </c>
      <c r="GH9">
        <v>34.8</v>
      </c>
      <c r="GI9">
        <v>36.2</v>
      </c>
      <c r="GJ9">
        <v>37.5</v>
      </c>
      <c r="GK9">
        <v>38.2</v>
      </c>
      <c r="GL9">
        <v>41</v>
      </c>
      <c r="GM9">
        <v>41.2</v>
      </c>
      <c r="GN9">
        <v>40.5</v>
      </c>
      <c r="GO9">
        <v>39.2</v>
      </c>
      <c r="GP9">
        <v>37.8</v>
      </c>
      <c r="GQ9">
        <v>36.5</v>
      </c>
      <c r="GR9">
        <v>35.8</v>
      </c>
      <c r="GS9">
        <v>36.2</v>
      </c>
      <c r="GT9">
        <v>37.5</v>
      </c>
      <c r="GU9">
        <v>38.8</v>
      </c>
      <c r="GV9">
        <v>39.8</v>
      </c>
      <c r="GW9">
        <v>41.5</v>
      </c>
      <c r="GX9">
        <v>42.5</v>
      </c>
      <c r="GY9">
        <v>42.8</v>
      </c>
      <c r="GZ9">
        <v>42</v>
      </c>
      <c r="HA9">
        <v>41.2</v>
      </c>
      <c r="HB9">
        <v>39.8</v>
      </c>
      <c r="HC9">
        <v>38.5</v>
      </c>
      <c r="HD9">
        <v>37.8</v>
      </c>
      <c r="HE9">
        <v>38.2</v>
      </c>
      <c r="HF9">
        <v>39.5</v>
      </c>
      <c r="HG9">
        <v>40.8</v>
      </c>
      <c r="HH9">
        <v>41.5</v>
      </c>
      <c r="HI9">
        <v>42.5</v>
      </c>
      <c r="HJ9">
        <v>43.8</v>
      </c>
      <c r="HK9">
        <v>44</v>
      </c>
      <c r="HL9">
        <v>43.2</v>
      </c>
      <c r="HM9">
        <v>42.5</v>
      </c>
      <c r="HN9">
        <v>41.2</v>
      </c>
      <c r="HO9">
        <v>39.8</v>
      </c>
      <c r="HP9">
        <v>39.2</v>
      </c>
      <c r="HQ9">
        <v>39.5</v>
      </c>
      <c r="HR9">
        <v>40.8</v>
      </c>
      <c r="HS9">
        <v>42.2</v>
      </c>
      <c r="HT9">
        <v>43.5</v>
      </c>
      <c r="HU9">
        <v>44.8</v>
      </c>
      <c r="HV9">
        <v>45.5</v>
      </c>
      <c r="HW9">
        <v>45.8</v>
      </c>
      <c r="HX9">
        <v>45.2</v>
      </c>
      <c r="HY9">
        <v>44.5</v>
      </c>
      <c r="HZ9">
        <v>43</v>
      </c>
      <c r="IA9">
        <v>42.2</v>
      </c>
      <c r="IB9">
        <v>41.5</v>
      </c>
      <c r="IC9">
        <v>41.8</v>
      </c>
      <c r="ID9">
        <v>43</v>
      </c>
      <c r="IE9">
        <v>44.5</v>
      </c>
      <c r="IF9">
        <v>45.8</v>
      </c>
      <c r="IG9">
        <v>46.8</v>
      </c>
      <c r="IH9">
        <v>47.8</v>
      </c>
      <c r="II9">
        <v>48.2</v>
      </c>
      <c r="IJ9">
        <v>47.5</v>
      </c>
      <c r="IK9">
        <v>46.8</v>
      </c>
      <c r="IL9">
        <v>45.5</v>
      </c>
      <c r="IM9">
        <v>44.2</v>
      </c>
      <c r="IN9">
        <v>43.5</v>
      </c>
      <c r="IO9">
        <v>43.8</v>
      </c>
      <c r="IP9">
        <v>45</v>
      </c>
      <c r="IQ9">
        <v>46.5</v>
      </c>
      <c r="IR9">
        <v>47.8</v>
      </c>
      <c r="IS9">
        <v>48.5</v>
      </c>
      <c r="IT9">
        <v>49.2</v>
      </c>
      <c r="IU9">
        <v>49.5</v>
      </c>
      <c r="IV9">
        <v>48.8</v>
      </c>
      <c r="IW9">
        <v>48.2</v>
      </c>
      <c r="IX9">
        <v>46.8</v>
      </c>
      <c r="IY9">
        <v>45.5</v>
      </c>
      <c r="IZ9">
        <v>44.8</v>
      </c>
      <c r="JA9">
        <v>45.2</v>
      </c>
      <c r="JB9">
        <v>46.5</v>
      </c>
      <c r="JC9">
        <v>48</v>
      </c>
      <c r="JD9">
        <v>49.5</v>
      </c>
      <c r="JE9">
        <v>50.2</v>
      </c>
      <c r="JF9">
        <v>50.8</v>
      </c>
      <c r="JG9">
        <v>51.2</v>
      </c>
      <c r="JH9">
        <v>50.5</v>
      </c>
      <c r="JI9">
        <v>49.8</v>
      </c>
      <c r="JJ9">
        <v>48.5</v>
      </c>
      <c r="JK9">
        <v>47.2</v>
      </c>
      <c r="JL9">
        <v>46.5</v>
      </c>
      <c r="JM9">
        <v>47</v>
      </c>
      <c r="JN9">
        <v>48.5</v>
      </c>
      <c r="JO9">
        <v>50.2</v>
      </c>
      <c r="JP9">
        <v>51.5</v>
      </c>
      <c r="JQ9">
        <v>52.5</v>
      </c>
      <c r="JR9">
        <v>53.8</v>
      </c>
      <c r="JS9">
        <v>54.2</v>
      </c>
      <c r="JT9">
        <v>53.5</v>
      </c>
      <c r="JU9">
        <v>52.8</v>
      </c>
      <c r="JV9">
        <v>51.2</v>
      </c>
      <c r="JW9">
        <v>49.8</v>
      </c>
      <c r="JX9">
        <v>49.2</v>
      </c>
      <c r="JY9">
        <v>49.5</v>
      </c>
      <c r="JZ9">
        <v>51</v>
      </c>
      <c r="KA9">
        <v>52.8</v>
      </c>
      <c r="KB9">
        <v>54.5</v>
      </c>
      <c r="KC9">
        <v>55.8</v>
      </c>
      <c r="KD9">
        <v>55.2</v>
      </c>
      <c r="KE9">
        <v>55</v>
      </c>
      <c r="KF9">
        <v>54.2</v>
      </c>
      <c r="KG9">
        <v>53.5</v>
      </c>
      <c r="KH9">
        <v>51.8</v>
      </c>
      <c r="KI9">
        <v>50.5</v>
      </c>
      <c r="KJ9">
        <v>49.8</v>
      </c>
      <c r="KK9">
        <v>50.2</v>
      </c>
      <c r="KL9">
        <v>51.5</v>
      </c>
      <c r="KM9">
        <v>53.2</v>
      </c>
      <c r="KN9">
        <v>54.8</v>
      </c>
      <c r="KO9">
        <v>55.5</v>
      </c>
    </row>
    <row r="10" s="7" customFormat="1" ht="27.75" spans="1:301">
      <c r="A10" s="12" t="s">
        <v>2450</v>
      </c>
      <c r="B10">
        <v>61.24</v>
      </c>
      <c r="C10">
        <v>60.82</v>
      </c>
      <c r="D10">
        <v>59.25</v>
      </c>
      <c r="E10">
        <v>56.58</v>
      </c>
      <c r="F10">
        <v>53.84</v>
      </c>
      <c r="G10">
        <v>51.21</v>
      </c>
      <c r="H10">
        <v>49.86</v>
      </c>
      <c r="I10">
        <v>50.54</v>
      </c>
      <c r="J10">
        <v>52.89</v>
      </c>
      <c r="K10">
        <v>55.42</v>
      </c>
      <c r="L10">
        <v>58.67</v>
      </c>
      <c r="M10">
        <v>60.23</v>
      </c>
      <c r="N10">
        <v>61.58</v>
      </c>
      <c r="O10">
        <v>61.04</v>
      </c>
      <c r="P10">
        <v>59.82</v>
      </c>
      <c r="Q10">
        <v>57.25</v>
      </c>
      <c r="R10">
        <v>54.51</v>
      </c>
      <c r="S10">
        <v>51.83</v>
      </c>
      <c r="T10">
        <v>50.24</v>
      </c>
      <c r="U10">
        <v>51.06</v>
      </c>
      <c r="V10">
        <v>53.54</v>
      </c>
      <c r="W10">
        <v>56.08</v>
      </c>
      <c r="X10">
        <v>59.23</v>
      </c>
      <c r="Y10">
        <v>60.87</v>
      </c>
      <c r="Z10">
        <v>60.42</v>
      </c>
      <c r="AA10">
        <v>59.58</v>
      </c>
      <c r="AB10">
        <v>57.23</v>
      </c>
      <c r="AC10">
        <v>54.86</v>
      </c>
      <c r="AD10">
        <v>52.14</v>
      </c>
      <c r="AE10">
        <v>49.57</v>
      </c>
      <c r="AF10">
        <v>48.82</v>
      </c>
      <c r="AG10">
        <v>49.56</v>
      </c>
      <c r="AH10">
        <v>51.24</v>
      </c>
      <c r="AI10">
        <v>54.08</v>
      </c>
      <c r="AJ10">
        <v>61.85</v>
      </c>
      <c r="AK10">
        <v>60.52</v>
      </c>
      <c r="AL10">
        <v>59.24</v>
      </c>
      <c r="AM10">
        <v>58.51</v>
      </c>
      <c r="AN10">
        <v>56.28</v>
      </c>
      <c r="AO10">
        <v>53.56</v>
      </c>
      <c r="AP10">
        <v>50.82</v>
      </c>
      <c r="AQ10">
        <v>48.25</v>
      </c>
      <c r="AR10">
        <v>47.52</v>
      </c>
      <c r="AS10">
        <v>48.14</v>
      </c>
      <c r="AT10">
        <v>49.86</v>
      </c>
      <c r="AU10">
        <v>51.52</v>
      </c>
      <c r="AV10">
        <v>53.87</v>
      </c>
      <c r="AW10">
        <v>56.54</v>
      </c>
      <c r="AX10">
        <v>55.84</v>
      </c>
      <c r="AY10">
        <v>54.21</v>
      </c>
      <c r="AZ10">
        <v>52.08</v>
      </c>
      <c r="BA10">
        <v>49.56</v>
      </c>
      <c r="BB10">
        <v>47.23</v>
      </c>
      <c r="BC10">
        <v>45.57</v>
      </c>
      <c r="BD10">
        <v>44.28</v>
      </c>
      <c r="BE10">
        <v>44.86</v>
      </c>
      <c r="BF10">
        <v>46.54</v>
      </c>
      <c r="BG10">
        <v>49.02</v>
      </c>
      <c r="BH10">
        <v>51.27</v>
      </c>
      <c r="BI10">
        <v>53.45</v>
      </c>
      <c r="BJ10">
        <v>52.56</v>
      </c>
      <c r="BK10">
        <v>51.23</v>
      </c>
      <c r="BL10">
        <v>48.84</v>
      </c>
      <c r="BM10">
        <v>46.51</v>
      </c>
      <c r="BN10">
        <v>44.27</v>
      </c>
      <c r="BO10">
        <v>42.58</v>
      </c>
      <c r="BP10">
        <v>41.82</v>
      </c>
      <c r="BQ10">
        <v>42.25</v>
      </c>
      <c r="BR10">
        <v>43.87</v>
      </c>
      <c r="BS10">
        <v>45.24</v>
      </c>
      <c r="BT10">
        <v>47.52</v>
      </c>
      <c r="BU10">
        <v>49.86</v>
      </c>
      <c r="BV10">
        <v>50.84</v>
      </c>
      <c r="BW10">
        <v>49.62</v>
      </c>
      <c r="BX10">
        <v>47.25</v>
      </c>
      <c r="BY10">
        <v>44.83</v>
      </c>
      <c r="BZ10">
        <v>42.56</v>
      </c>
      <c r="CA10">
        <v>40.82</v>
      </c>
      <c r="CB10">
        <v>39.65</v>
      </c>
      <c r="CC10">
        <v>40.24</v>
      </c>
      <c r="CD10">
        <v>41.58</v>
      </c>
      <c r="CE10">
        <v>43.21</v>
      </c>
      <c r="CF10">
        <v>45.87</v>
      </c>
      <c r="CG10">
        <v>48.52</v>
      </c>
      <c r="CH10">
        <v>49.24</v>
      </c>
      <c r="CI10">
        <v>48.51</v>
      </c>
      <c r="CJ10">
        <v>46.28</v>
      </c>
      <c r="CK10">
        <v>43.56</v>
      </c>
      <c r="CL10">
        <v>41.23</v>
      </c>
      <c r="CM10">
        <v>39.85</v>
      </c>
      <c r="CN10">
        <v>38.82</v>
      </c>
      <c r="CO10">
        <v>39.24</v>
      </c>
      <c r="CP10">
        <v>40.56</v>
      </c>
      <c r="CQ10">
        <v>42.28</v>
      </c>
      <c r="CR10">
        <v>44.51</v>
      </c>
      <c r="CS10">
        <v>46.83</v>
      </c>
      <c r="CT10">
        <v>47.24</v>
      </c>
      <c r="CU10">
        <v>46.58</v>
      </c>
      <c r="CV10">
        <v>44.82</v>
      </c>
      <c r="CW10">
        <v>42.25</v>
      </c>
      <c r="CX10">
        <v>40.56</v>
      </c>
      <c r="CY10">
        <v>39.21</v>
      </c>
      <c r="CZ10">
        <v>38.64</v>
      </c>
      <c r="DA10">
        <v>39.02</v>
      </c>
      <c r="DB10">
        <v>40.87</v>
      </c>
      <c r="DC10">
        <v>42.54</v>
      </c>
      <c r="DD10">
        <v>44.82</v>
      </c>
      <c r="DE10">
        <v>47.56</v>
      </c>
      <c r="DF10">
        <v>49.84</v>
      </c>
      <c r="DG10">
        <v>49.25</v>
      </c>
      <c r="DH10">
        <v>47.52</v>
      </c>
      <c r="DI10">
        <v>45.28</v>
      </c>
      <c r="DJ10">
        <v>43.24</v>
      </c>
      <c r="DK10">
        <v>41.56</v>
      </c>
      <c r="DL10">
        <v>40.82</v>
      </c>
      <c r="DM10">
        <v>41.65</v>
      </c>
      <c r="DN10">
        <v>43.52</v>
      </c>
      <c r="DO10">
        <v>45.86</v>
      </c>
      <c r="DP10">
        <v>48.54</v>
      </c>
      <c r="DQ10">
        <v>51.23</v>
      </c>
      <c r="DR10">
        <v>53.82</v>
      </c>
      <c r="DS10">
        <v>53.24</v>
      </c>
      <c r="DT10">
        <v>51.56</v>
      </c>
      <c r="DU10">
        <v>49.23</v>
      </c>
      <c r="DV10">
        <v>46.87</v>
      </c>
      <c r="DW10">
        <v>44.52</v>
      </c>
      <c r="DX10">
        <v>43.65</v>
      </c>
      <c r="DY10">
        <v>44.28</v>
      </c>
      <c r="DZ10">
        <v>46.51</v>
      </c>
      <c r="EA10">
        <v>49.26</v>
      </c>
      <c r="EB10">
        <v>52.54</v>
      </c>
      <c r="EC10">
        <v>55.62</v>
      </c>
      <c r="ED10">
        <v>57.84</v>
      </c>
      <c r="EE10">
        <v>56.52</v>
      </c>
      <c r="EF10">
        <v>54.28</v>
      </c>
      <c r="EG10">
        <v>51.56</v>
      </c>
      <c r="EH10">
        <v>48.82</v>
      </c>
      <c r="EI10">
        <v>46.25</v>
      </c>
      <c r="EJ10">
        <v>45.18</v>
      </c>
      <c r="EK10">
        <v>46.04</v>
      </c>
      <c r="EL10">
        <v>48.87</v>
      </c>
      <c r="EM10">
        <v>52.56</v>
      </c>
      <c r="EN10">
        <v>56.23</v>
      </c>
      <c r="EO10">
        <v>58.85</v>
      </c>
      <c r="EP10">
        <v>59.42</v>
      </c>
      <c r="EQ10">
        <v>58.26</v>
      </c>
      <c r="ER10">
        <v>56.58</v>
      </c>
      <c r="ES10">
        <v>53.82</v>
      </c>
      <c r="ET10">
        <v>51.27</v>
      </c>
      <c r="EU10">
        <v>48.54</v>
      </c>
      <c r="EV10">
        <v>47.21</v>
      </c>
      <c r="EW10">
        <v>48.06</v>
      </c>
      <c r="EX10">
        <v>50.52</v>
      </c>
      <c r="EY10">
        <v>53.87</v>
      </c>
      <c r="EZ10">
        <v>57.54</v>
      </c>
      <c r="FA10">
        <v>60.28</v>
      </c>
      <c r="FB10">
        <v>58.86</v>
      </c>
      <c r="FC10">
        <v>58.12</v>
      </c>
      <c r="FD10">
        <v>55.84</v>
      </c>
      <c r="FE10">
        <v>52.57</v>
      </c>
      <c r="FF10">
        <v>49.82</v>
      </c>
      <c r="FG10">
        <v>47.26</v>
      </c>
      <c r="FH10">
        <v>45.83</v>
      </c>
      <c r="FI10">
        <v>46.68</v>
      </c>
      <c r="FJ10">
        <v>49.25</v>
      </c>
      <c r="FK10">
        <v>52.14</v>
      </c>
      <c r="FL10">
        <v>55.67</v>
      </c>
      <c r="FM10">
        <v>57.82</v>
      </c>
      <c r="FN10">
        <v>55.24</v>
      </c>
      <c r="FO10">
        <v>53.58</v>
      </c>
      <c r="FP10">
        <v>50.86</v>
      </c>
      <c r="FQ10">
        <v>47.52</v>
      </c>
      <c r="FR10">
        <v>45.04</v>
      </c>
      <c r="FS10">
        <v>42.25</v>
      </c>
      <c r="FT10">
        <v>40.88</v>
      </c>
      <c r="FU10">
        <v>41.56</v>
      </c>
      <c r="FV10">
        <v>43.24</v>
      </c>
      <c r="FW10">
        <v>45.87</v>
      </c>
      <c r="FX10">
        <v>48.21</v>
      </c>
      <c r="FY10">
        <v>50.54</v>
      </c>
      <c r="FZ10">
        <v>49.26</v>
      </c>
      <c r="GA10">
        <v>48.54</v>
      </c>
      <c r="GB10">
        <v>46.81</v>
      </c>
      <c r="GC10">
        <v>44.27</v>
      </c>
      <c r="GD10">
        <v>42.58</v>
      </c>
      <c r="GE10">
        <v>41.23</v>
      </c>
      <c r="GF10">
        <v>39.86</v>
      </c>
      <c r="GG10">
        <v>40.52</v>
      </c>
      <c r="GH10">
        <v>42.24</v>
      </c>
      <c r="GI10">
        <v>44.57</v>
      </c>
      <c r="GJ10">
        <v>46.23</v>
      </c>
      <c r="GK10">
        <v>48.85</v>
      </c>
      <c r="GL10">
        <v>48.24</v>
      </c>
      <c r="GM10">
        <v>47.56</v>
      </c>
      <c r="GN10">
        <v>45.28</v>
      </c>
      <c r="GO10">
        <v>43.05</v>
      </c>
      <c r="GP10">
        <v>41.23</v>
      </c>
      <c r="GQ10">
        <v>39.87</v>
      </c>
      <c r="GR10">
        <v>39.24</v>
      </c>
      <c r="GS10">
        <v>39.86</v>
      </c>
      <c r="GT10">
        <v>41.52</v>
      </c>
      <c r="GU10">
        <v>43.28</v>
      </c>
      <c r="GV10">
        <v>45.06</v>
      </c>
      <c r="GW10">
        <v>47.23</v>
      </c>
      <c r="GX10">
        <v>47.52</v>
      </c>
      <c r="GY10">
        <v>46.84</v>
      </c>
      <c r="GZ10">
        <v>44.51</v>
      </c>
      <c r="HA10">
        <v>42.28</v>
      </c>
      <c r="HB10">
        <v>40.56</v>
      </c>
      <c r="HC10">
        <v>39.24</v>
      </c>
      <c r="HD10">
        <v>38.56</v>
      </c>
      <c r="HE10">
        <v>38.92</v>
      </c>
      <c r="HF10">
        <v>40.25</v>
      </c>
      <c r="HG10">
        <v>41.87</v>
      </c>
      <c r="HH10">
        <v>44.23</v>
      </c>
      <c r="HI10">
        <v>46.51</v>
      </c>
      <c r="HJ10">
        <v>47.08</v>
      </c>
      <c r="HK10">
        <v>46.62</v>
      </c>
      <c r="HL10">
        <v>44.85</v>
      </c>
      <c r="HM10">
        <v>42.51</v>
      </c>
      <c r="HN10">
        <v>40.83</v>
      </c>
      <c r="HO10">
        <v>39.52</v>
      </c>
      <c r="HP10">
        <v>38.76</v>
      </c>
      <c r="HQ10">
        <v>39.24</v>
      </c>
      <c r="HR10">
        <v>41.25</v>
      </c>
      <c r="HS10">
        <v>43.02</v>
      </c>
      <c r="HT10">
        <v>45.58</v>
      </c>
      <c r="HU10">
        <v>48.24</v>
      </c>
      <c r="HV10">
        <v>48.86</v>
      </c>
      <c r="HW10">
        <v>48.24</v>
      </c>
      <c r="HX10">
        <v>46.57</v>
      </c>
      <c r="HY10">
        <v>43.82</v>
      </c>
      <c r="HZ10">
        <v>41.56</v>
      </c>
      <c r="IA10">
        <v>40.21</v>
      </c>
      <c r="IB10">
        <v>39.54</v>
      </c>
      <c r="IC10">
        <v>40.58</v>
      </c>
      <c r="ID10">
        <v>42.83</v>
      </c>
      <c r="IE10">
        <v>44.82</v>
      </c>
      <c r="IF10">
        <v>47.26</v>
      </c>
      <c r="IG10">
        <v>49.65</v>
      </c>
      <c r="IH10">
        <v>51.24</v>
      </c>
      <c r="II10">
        <v>50.57</v>
      </c>
      <c r="IJ10">
        <v>48.82</v>
      </c>
      <c r="IK10">
        <v>46.54</v>
      </c>
      <c r="IL10">
        <v>44.28</v>
      </c>
      <c r="IM10">
        <v>42.81</v>
      </c>
      <c r="IN10">
        <v>41.85</v>
      </c>
      <c r="IO10">
        <v>42.64</v>
      </c>
      <c r="IP10">
        <v>44.87</v>
      </c>
      <c r="IQ10">
        <v>47.25</v>
      </c>
      <c r="IR10">
        <v>50.21</v>
      </c>
      <c r="IS10">
        <v>53.48</v>
      </c>
      <c r="IT10">
        <v>55.84</v>
      </c>
      <c r="IU10">
        <v>56.52</v>
      </c>
      <c r="IV10">
        <v>54.28</v>
      </c>
      <c r="IW10">
        <v>51.87</v>
      </c>
      <c r="IX10">
        <v>49.25</v>
      </c>
      <c r="IY10">
        <v>47.24</v>
      </c>
      <c r="IZ10">
        <v>45.62</v>
      </c>
      <c r="JA10">
        <v>46.88</v>
      </c>
      <c r="JB10">
        <v>49.52</v>
      </c>
      <c r="JC10">
        <v>52.86</v>
      </c>
      <c r="JD10">
        <v>56.84</v>
      </c>
      <c r="JE10">
        <v>59.57</v>
      </c>
      <c r="JF10">
        <v>61.24</v>
      </c>
      <c r="JG10">
        <v>60.58</v>
      </c>
      <c r="JH10">
        <v>58.23</v>
      </c>
      <c r="JI10">
        <v>55.87</v>
      </c>
      <c r="JJ10">
        <v>53.24</v>
      </c>
      <c r="JK10">
        <v>50.86</v>
      </c>
      <c r="JL10">
        <v>49.25</v>
      </c>
      <c r="JM10">
        <v>50.52</v>
      </c>
      <c r="JN10">
        <v>53.84</v>
      </c>
      <c r="JO10">
        <v>57.26</v>
      </c>
      <c r="JP10">
        <v>60.83</v>
      </c>
      <c r="JQ10">
        <v>63.58</v>
      </c>
      <c r="JR10">
        <v>62.85</v>
      </c>
      <c r="JS10">
        <v>61.52</v>
      </c>
      <c r="JT10">
        <v>59.27</v>
      </c>
      <c r="JU10">
        <v>56.54</v>
      </c>
      <c r="JV10">
        <v>53.82</v>
      </c>
      <c r="JW10">
        <v>51.26</v>
      </c>
      <c r="JX10">
        <v>49.87</v>
      </c>
      <c r="JY10">
        <v>50.64</v>
      </c>
      <c r="JZ10">
        <v>53.58</v>
      </c>
      <c r="KA10">
        <v>56.82</v>
      </c>
      <c r="KB10">
        <v>59.25</v>
      </c>
      <c r="KC10">
        <v>61.04</v>
      </c>
      <c r="KD10">
        <v>59.26</v>
      </c>
      <c r="KE10">
        <v>56.54</v>
      </c>
      <c r="KF10">
        <v>52.87</v>
      </c>
      <c r="KG10">
        <v>49.25</v>
      </c>
      <c r="KH10">
        <v>46.58</v>
      </c>
      <c r="KI10">
        <v>43.82</v>
      </c>
      <c r="KJ10">
        <v>42.24</v>
      </c>
      <c r="KK10">
        <v>43.06</v>
      </c>
      <c r="KL10">
        <v>44.87</v>
      </c>
      <c r="KM10">
        <v>47.25</v>
      </c>
      <c r="KN10">
        <v>49.52</v>
      </c>
      <c r="KO10">
        <v>51.84</v>
      </c>
    </row>
    <row r="11" spans="1:301">
      <c r="A11" t="s">
        <v>2451</v>
      </c>
      <c r="B11">
        <f t="shared" ref="B11:BM11" si="5">B13+B5</f>
        <v>135.552</v>
      </c>
      <c r="C11">
        <f t="shared" si="5"/>
        <v>136.349</v>
      </c>
      <c r="D11">
        <f t="shared" si="5"/>
        <v>137.753</v>
      </c>
      <c r="E11">
        <f t="shared" si="5"/>
        <v>139.182</v>
      </c>
      <c r="F11">
        <f t="shared" si="5"/>
        <v>140.942</v>
      </c>
      <c r="G11">
        <f t="shared" si="5"/>
        <v>142.582</v>
      </c>
      <c r="H11">
        <f t="shared" si="5"/>
        <v>143.974</v>
      </c>
      <c r="I11">
        <f t="shared" si="5"/>
        <v>144.185</v>
      </c>
      <c r="J11">
        <f t="shared" si="5"/>
        <v>141.316</v>
      </c>
      <c r="K11">
        <f t="shared" si="5"/>
        <v>138.042</v>
      </c>
      <c r="L11">
        <f t="shared" si="5"/>
        <v>136.769</v>
      </c>
      <c r="M11">
        <f t="shared" si="5"/>
        <v>135.918</v>
      </c>
      <c r="N11">
        <f t="shared" si="5"/>
        <v>135.945</v>
      </c>
      <c r="O11">
        <f t="shared" si="5"/>
        <v>136.737</v>
      </c>
      <c r="P11">
        <f t="shared" si="5"/>
        <v>138.242</v>
      </c>
      <c r="Q11">
        <f t="shared" si="5"/>
        <v>139.639</v>
      </c>
      <c r="R11">
        <f t="shared" si="5"/>
        <v>141.393</v>
      </c>
      <c r="S11">
        <f t="shared" si="5"/>
        <v>143.032</v>
      </c>
      <c r="T11">
        <f t="shared" si="5"/>
        <v>144.428</v>
      </c>
      <c r="U11">
        <f t="shared" si="5"/>
        <v>144.637</v>
      </c>
      <c r="V11">
        <f t="shared" si="5"/>
        <v>141.734</v>
      </c>
      <c r="W11">
        <f t="shared" si="5"/>
        <v>138.483</v>
      </c>
      <c r="X11">
        <f t="shared" si="5"/>
        <v>137.226</v>
      </c>
      <c r="Y11">
        <f t="shared" si="5"/>
        <v>136.368</v>
      </c>
      <c r="Z11">
        <f t="shared" si="5"/>
        <v>136.506</v>
      </c>
      <c r="AA11">
        <f t="shared" si="5"/>
        <v>137.687</v>
      </c>
      <c r="AB11">
        <f t="shared" si="5"/>
        <v>139.092</v>
      </c>
      <c r="AC11">
        <f t="shared" si="5"/>
        <v>140.51</v>
      </c>
      <c r="AD11">
        <f t="shared" si="5"/>
        <v>142.418</v>
      </c>
      <c r="AE11">
        <f t="shared" si="5"/>
        <v>144.051</v>
      </c>
      <c r="AF11">
        <f t="shared" si="5"/>
        <v>145.443</v>
      </c>
      <c r="AG11">
        <f t="shared" si="5"/>
        <v>145.718</v>
      </c>
      <c r="AH11">
        <f t="shared" si="5"/>
        <v>142.637</v>
      </c>
      <c r="AI11">
        <f t="shared" si="5"/>
        <v>139.279</v>
      </c>
      <c r="AJ11">
        <f t="shared" si="5"/>
        <v>137.811</v>
      </c>
      <c r="AK11">
        <f t="shared" si="5"/>
        <v>136.872</v>
      </c>
      <c r="AL11">
        <f t="shared" si="5"/>
        <v>136.854</v>
      </c>
      <c r="AM11">
        <f t="shared" si="5"/>
        <v>137.53</v>
      </c>
      <c r="AN11">
        <f t="shared" si="5"/>
        <v>138.737</v>
      </c>
      <c r="AO11">
        <f t="shared" si="5"/>
        <v>140.38</v>
      </c>
      <c r="AP11">
        <f t="shared" si="5"/>
        <v>142.245</v>
      </c>
      <c r="AQ11">
        <f t="shared" si="5"/>
        <v>143.791</v>
      </c>
      <c r="AR11">
        <f t="shared" si="5"/>
        <v>145.144</v>
      </c>
      <c r="AS11">
        <f t="shared" si="5"/>
        <v>145.347</v>
      </c>
      <c r="AT11">
        <f t="shared" si="5"/>
        <v>142.491</v>
      </c>
      <c r="AU11">
        <f t="shared" si="5"/>
        <v>139.207</v>
      </c>
      <c r="AV11">
        <f t="shared" si="5"/>
        <v>137.846</v>
      </c>
      <c r="AW11">
        <f t="shared" si="5"/>
        <v>137.017</v>
      </c>
      <c r="AX11">
        <f t="shared" si="5"/>
        <v>137.347</v>
      </c>
      <c r="AY11">
        <f t="shared" si="5"/>
        <v>138.331</v>
      </c>
      <c r="AZ11">
        <f t="shared" si="5"/>
        <v>139.539</v>
      </c>
      <c r="BA11">
        <f t="shared" si="5"/>
        <v>141.371</v>
      </c>
      <c r="BB11">
        <f t="shared" si="5"/>
        <v>143.347</v>
      </c>
      <c r="BC11">
        <f t="shared" si="5"/>
        <v>145.02</v>
      </c>
      <c r="BD11">
        <f t="shared" si="5"/>
        <v>146.162</v>
      </c>
      <c r="BE11">
        <f t="shared" si="5"/>
        <v>146.456</v>
      </c>
      <c r="BF11">
        <f t="shared" si="5"/>
        <v>143.393</v>
      </c>
      <c r="BG11">
        <f t="shared" si="5"/>
        <v>140.115</v>
      </c>
      <c r="BH11">
        <f t="shared" si="5"/>
        <v>138.841</v>
      </c>
      <c r="BI11">
        <f t="shared" si="5"/>
        <v>138.093</v>
      </c>
      <c r="BJ11">
        <f t="shared" si="5"/>
        <v>138.519</v>
      </c>
      <c r="BK11">
        <f t="shared" si="5"/>
        <v>139.316</v>
      </c>
      <c r="BL11">
        <f t="shared" si="5"/>
        <v>140.335</v>
      </c>
      <c r="BM11">
        <f t="shared" si="5"/>
        <v>142.161</v>
      </c>
      <c r="BN11">
        <f t="shared" ref="BN11:DY11" si="6">BN13+BN5</f>
        <v>143.934</v>
      </c>
      <c r="BO11">
        <f t="shared" si="6"/>
        <v>145.602</v>
      </c>
      <c r="BP11">
        <f t="shared" si="6"/>
        <v>147.01</v>
      </c>
      <c r="BQ11">
        <f t="shared" si="6"/>
        <v>147.401</v>
      </c>
      <c r="BR11">
        <f t="shared" si="6"/>
        <v>144.31</v>
      </c>
      <c r="BS11">
        <f t="shared" si="6"/>
        <v>141.041</v>
      </c>
      <c r="BT11">
        <f t="shared" si="6"/>
        <v>139.762</v>
      </c>
      <c r="BU11">
        <f t="shared" si="6"/>
        <v>138.925</v>
      </c>
      <c r="BV11">
        <f t="shared" si="6"/>
        <v>139.445</v>
      </c>
      <c r="BW11">
        <f t="shared" si="6"/>
        <v>140.168</v>
      </c>
      <c r="BX11">
        <f t="shared" si="6"/>
        <v>141.229</v>
      </c>
      <c r="BY11">
        <f t="shared" si="6"/>
        <v>143.091</v>
      </c>
      <c r="BZ11">
        <f t="shared" si="6"/>
        <v>144.841</v>
      </c>
      <c r="CA11">
        <f t="shared" si="6"/>
        <v>146.691</v>
      </c>
      <c r="CB11">
        <f t="shared" si="6"/>
        <v>148.013</v>
      </c>
      <c r="CC11">
        <f t="shared" si="6"/>
        <v>148.4</v>
      </c>
      <c r="CD11">
        <f t="shared" si="6"/>
        <v>145.418</v>
      </c>
      <c r="CE11">
        <f t="shared" si="6"/>
        <v>142.154</v>
      </c>
      <c r="CF11">
        <f t="shared" si="6"/>
        <v>140.671</v>
      </c>
      <c r="CG11">
        <f t="shared" si="6"/>
        <v>139.842</v>
      </c>
      <c r="CH11">
        <f t="shared" si="6"/>
        <v>139.188</v>
      </c>
      <c r="CI11">
        <f t="shared" si="6"/>
        <v>139.9</v>
      </c>
      <c r="CJ11">
        <f t="shared" si="6"/>
        <v>141.096</v>
      </c>
      <c r="CK11">
        <f t="shared" si="6"/>
        <v>142.927</v>
      </c>
      <c r="CL11">
        <f t="shared" si="6"/>
        <v>144.95</v>
      </c>
      <c r="CM11">
        <f t="shared" si="6"/>
        <v>146.608</v>
      </c>
      <c r="CN11">
        <f t="shared" si="6"/>
        <v>148.042</v>
      </c>
      <c r="CO11">
        <f t="shared" si="6"/>
        <v>148.515</v>
      </c>
      <c r="CP11">
        <f t="shared" si="6"/>
        <v>145.335</v>
      </c>
      <c r="CQ11">
        <f t="shared" si="6"/>
        <v>142.081</v>
      </c>
      <c r="CR11">
        <f t="shared" si="6"/>
        <v>140.51</v>
      </c>
      <c r="CS11">
        <f t="shared" si="6"/>
        <v>139.756</v>
      </c>
      <c r="CT11">
        <f t="shared" si="6"/>
        <v>140.091</v>
      </c>
      <c r="CU11">
        <f t="shared" si="6"/>
        <v>140.875</v>
      </c>
      <c r="CV11">
        <f t="shared" si="6"/>
        <v>142.061</v>
      </c>
      <c r="CW11">
        <f t="shared" si="6"/>
        <v>144.026</v>
      </c>
      <c r="CX11">
        <f t="shared" si="6"/>
        <v>146.219</v>
      </c>
      <c r="CY11">
        <f t="shared" si="6"/>
        <v>147.855</v>
      </c>
      <c r="CZ11">
        <f t="shared" si="6"/>
        <v>149.26</v>
      </c>
      <c r="DA11">
        <f t="shared" si="6"/>
        <v>149.764</v>
      </c>
      <c r="DB11">
        <f t="shared" si="6"/>
        <v>146.792</v>
      </c>
      <c r="DC11">
        <f t="shared" si="6"/>
        <v>143.634</v>
      </c>
      <c r="DD11">
        <f t="shared" si="6"/>
        <v>142.065</v>
      </c>
      <c r="DE11">
        <f t="shared" si="6"/>
        <v>141.235</v>
      </c>
      <c r="DF11">
        <f t="shared" si="6"/>
        <v>140.945</v>
      </c>
      <c r="DG11">
        <f t="shared" si="6"/>
        <v>141.782</v>
      </c>
      <c r="DH11">
        <f t="shared" si="6"/>
        <v>143.207</v>
      </c>
      <c r="DI11">
        <f t="shared" si="6"/>
        <v>145.046</v>
      </c>
      <c r="DJ11">
        <f t="shared" si="6"/>
        <v>147.218</v>
      </c>
      <c r="DK11">
        <f t="shared" si="6"/>
        <v>148.812</v>
      </c>
      <c r="DL11">
        <f t="shared" si="6"/>
        <v>150.417</v>
      </c>
      <c r="DM11">
        <f t="shared" si="6"/>
        <v>150.915</v>
      </c>
      <c r="DN11">
        <f t="shared" si="6"/>
        <v>147.858</v>
      </c>
      <c r="DO11">
        <f t="shared" si="6"/>
        <v>144.818</v>
      </c>
      <c r="DP11">
        <f t="shared" si="6"/>
        <v>143.259</v>
      </c>
      <c r="DQ11">
        <f t="shared" si="6"/>
        <v>142.514</v>
      </c>
      <c r="DR11">
        <f t="shared" si="6"/>
        <v>140.903</v>
      </c>
      <c r="DS11">
        <f t="shared" si="6"/>
        <v>141.38</v>
      </c>
      <c r="DT11">
        <f t="shared" si="6"/>
        <v>142.751</v>
      </c>
      <c r="DU11">
        <f t="shared" si="6"/>
        <v>144.631</v>
      </c>
      <c r="DV11">
        <f t="shared" si="6"/>
        <v>146.549</v>
      </c>
      <c r="DW11">
        <f t="shared" si="6"/>
        <v>148.182</v>
      </c>
      <c r="DX11">
        <f t="shared" si="6"/>
        <v>149.636</v>
      </c>
      <c r="DY11">
        <f t="shared" si="6"/>
        <v>150.023</v>
      </c>
      <c r="DZ11">
        <f t="shared" ref="DZ11:GK11" si="7">DZ13+DZ5</f>
        <v>147.094</v>
      </c>
      <c r="EA11">
        <f t="shared" si="7"/>
        <v>144.026</v>
      </c>
      <c r="EB11">
        <f t="shared" si="7"/>
        <v>142.841</v>
      </c>
      <c r="EC11">
        <f t="shared" si="7"/>
        <v>142.101</v>
      </c>
      <c r="ED11">
        <f t="shared" si="7"/>
        <v>141.812</v>
      </c>
      <c r="EE11">
        <f t="shared" si="7"/>
        <v>142.516</v>
      </c>
      <c r="EF11">
        <f t="shared" si="7"/>
        <v>143.885</v>
      </c>
      <c r="EG11">
        <f t="shared" si="7"/>
        <v>145.818</v>
      </c>
      <c r="EH11">
        <f t="shared" si="7"/>
        <v>147.778</v>
      </c>
      <c r="EI11">
        <f t="shared" si="7"/>
        <v>149.418</v>
      </c>
      <c r="EJ11">
        <f t="shared" si="7"/>
        <v>151.039</v>
      </c>
      <c r="EK11">
        <f t="shared" si="7"/>
        <v>151.541</v>
      </c>
      <c r="EL11">
        <f t="shared" si="7"/>
        <v>148.601</v>
      </c>
      <c r="EM11">
        <f t="shared" si="7"/>
        <v>145.538</v>
      </c>
      <c r="EN11">
        <f t="shared" si="7"/>
        <v>144.091</v>
      </c>
      <c r="EO11">
        <f t="shared" si="7"/>
        <v>143.228</v>
      </c>
      <c r="EP11">
        <f t="shared" si="7"/>
        <v>142.711</v>
      </c>
      <c r="EQ11">
        <f t="shared" si="7"/>
        <v>143.416</v>
      </c>
      <c r="ER11">
        <f t="shared" si="7"/>
        <v>144.781</v>
      </c>
      <c r="ES11">
        <f t="shared" si="7"/>
        <v>146.634</v>
      </c>
      <c r="ET11">
        <f t="shared" si="7"/>
        <v>148.728</v>
      </c>
      <c r="EU11">
        <f t="shared" si="7"/>
        <v>150.398</v>
      </c>
      <c r="EV11">
        <f t="shared" si="7"/>
        <v>151.905</v>
      </c>
      <c r="EW11">
        <f t="shared" si="7"/>
        <v>152.288</v>
      </c>
      <c r="EX11">
        <f t="shared" si="7"/>
        <v>149.22</v>
      </c>
      <c r="EY11">
        <f t="shared" si="7"/>
        <v>146.142</v>
      </c>
      <c r="EZ11">
        <f t="shared" si="7"/>
        <v>144.689</v>
      </c>
      <c r="FA11">
        <f t="shared" si="7"/>
        <v>143.948</v>
      </c>
      <c r="FB11">
        <f t="shared" si="7"/>
        <v>143.966</v>
      </c>
      <c r="FC11">
        <f t="shared" si="7"/>
        <v>144.577</v>
      </c>
      <c r="FD11">
        <f t="shared" si="7"/>
        <v>145.83</v>
      </c>
      <c r="FE11">
        <f t="shared" si="7"/>
        <v>147.618</v>
      </c>
      <c r="FF11">
        <f t="shared" si="7"/>
        <v>149.662</v>
      </c>
      <c r="FG11">
        <f t="shared" si="7"/>
        <v>151.307</v>
      </c>
      <c r="FH11">
        <f t="shared" si="7"/>
        <v>152.79</v>
      </c>
      <c r="FI11">
        <f t="shared" si="7"/>
        <v>153.186</v>
      </c>
      <c r="FJ11">
        <f t="shared" si="7"/>
        <v>150.112</v>
      </c>
      <c r="FK11">
        <f t="shared" si="7"/>
        <v>147.073</v>
      </c>
      <c r="FL11">
        <f t="shared" si="7"/>
        <v>145.809</v>
      </c>
      <c r="FM11">
        <f t="shared" si="7"/>
        <v>145.071</v>
      </c>
      <c r="FN11">
        <f t="shared" si="7"/>
        <v>145.485</v>
      </c>
      <c r="FO11">
        <f t="shared" si="7"/>
        <v>146.131</v>
      </c>
      <c r="FP11">
        <f t="shared" si="7"/>
        <v>147.652</v>
      </c>
      <c r="FQ11">
        <f t="shared" si="7"/>
        <v>149.508</v>
      </c>
      <c r="FR11">
        <f t="shared" si="7"/>
        <v>151.87</v>
      </c>
      <c r="FS11">
        <f t="shared" si="7"/>
        <v>154.051</v>
      </c>
      <c r="FT11">
        <f t="shared" si="7"/>
        <v>155.607</v>
      </c>
      <c r="FU11">
        <f t="shared" si="7"/>
        <v>156.08</v>
      </c>
      <c r="FV11">
        <f t="shared" si="7"/>
        <v>152.835</v>
      </c>
      <c r="FW11">
        <f t="shared" si="7"/>
        <v>149.994</v>
      </c>
      <c r="FX11">
        <f t="shared" si="7"/>
        <v>148.453</v>
      </c>
      <c r="FY11">
        <f t="shared" si="7"/>
        <v>147.544</v>
      </c>
      <c r="FZ11">
        <f t="shared" si="7"/>
        <v>148.052</v>
      </c>
      <c r="GA11">
        <f t="shared" si="7"/>
        <v>148.845</v>
      </c>
      <c r="GB11">
        <f t="shared" si="7"/>
        <v>150.631</v>
      </c>
      <c r="GC11">
        <f t="shared" si="7"/>
        <v>152.433</v>
      </c>
      <c r="GD11">
        <f t="shared" si="7"/>
        <v>154.201</v>
      </c>
      <c r="GE11">
        <f t="shared" si="7"/>
        <v>155.812</v>
      </c>
      <c r="GF11">
        <f t="shared" si="7"/>
        <v>156.539</v>
      </c>
      <c r="GG11">
        <f t="shared" si="7"/>
        <v>157.974</v>
      </c>
      <c r="GH11">
        <f t="shared" si="7"/>
        <v>154.533</v>
      </c>
      <c r="GI11">
        <f t="shared" si="7"/>
        <v>151.578</v>
      </c>
      <c r="GJ11">
        <f t="shared" si="7"/>
        <v>150.019</v>
      </c>
      <c r="GK11">
        <f t="shared" si="7"/>
        <v>148.91</v>
      </c>
      <c r="GL11">
        <f t="shared" ref="GL11:IW11" si="8">GL13+GL5</f>
        <v>146.737</v>
      </c>
      <c r="GM11">
        <f t="shared" si="8"/>
        <v>147.442</v>
      </c>
      <c r="GN11">
        <f t="shared" si="8"/>
        <v>148.618</v>
      </c>
      <c r="GO11">
        <f t="shared" si="8"/>
        <v>150.345</v>
      </c>
      <c r="GP11">
        <f t="shared" si="8"/>
        <v>152.165</v>
      </c>
      <c r="GQ11">
        <f t="shared" si="8"/>
        <v>154.022</v>
      </c>
      <c r="GR11">
        <f t="shared" si="8"/>
        <v>155.525</v>
      </c>
      <c r="GS11">
        <f t="shared" si="8"/>
        <v>155.907</v>
      </c>
      <c r="GT11">
        <f t="shared" si="8"/>
        <v>152.838</v>
      </c>
      <c r="GU11">
        <f t="shared" si="8"/>
        <v>149.763</v>
      </c>
      <c r="GV11">
        <f t="shared" si="8"/>
        <v>148.314</v>
      </c>
      <c r="GW11">
        <f t="shared" si="8"/>
        <v>147.481</v>
      </c>
      <c r="GX11">
        <f t="shared" si="8"/>
        <v>146.598</v>
      </c>
      <c r="GY11">
        <f t="shared" si="8"/>
        <v>147.335</v>
      </c>
      <c r="GZ11">
        <f t="shared" si="8"/>
        <v>148.341</v>
      </c>
      <c r="HA11">
        <f t="shared" si="8"/>
        <v>149.931</v>
      </c>
      <c r="HB11">
        <f t="shared" si="8"/>
        <v>151.931</v>
      </c>
      <c r="HC11">
        <f t="shared" si="8"/>
        <v>153.579</v>
      </c>
      <c r="HD11">
        <f t="shared" si="8"/>
        <v>155.071</v>
      </c>
      <c r="HE11">
        <f t="shared" si="8"/>
        <v>155.599</v>
      </c>
      <c r="HF11">
        <f t="shared" si="8"/>
        <v>152.651</v>
      </c>
      <c r="HG11">
        <f t="shared" si="8"/>
        <v>149.8</v>
      </c>
      <c r="HH11">
        <f t="shared" si="8"/>
        <v>148.302</v>
      </c>
      <c r="HI11">
        <f t="shared" si="8"/>
        <v>147.507</v>
      </c>
      <c r="HJ11">
        <f t="shared" si="8"/>
        <v>147.583</v>
      </c>
      <c r="HK11">
        <f t="shared" si="8"/>
        <v>148.375</v>
      </c>
      <c r="HL11">
        <f t="shared" si="8"/>
        <v>149.697</v>
      </c>
      <c r="HM11">
        <f t="shared" si="8"/>
        <v>151.532</v>
      </c>
      <c r="HN11">
        <f t="shared" si="8"/>
        <v>153.566</v>
      </c>
      <c r="HO11">
        <f t="shared" si="8"/>
        <v>155.892</v>
      </c>
      <c r="HP11">
        <f t="shared" si="8"/>
        <v>157.577</v>
      </c>
      <c r="HQ11">
        <f t="shared" si="8"/>
        <v>158.195</v>
      </c>
      <c r="HR11">
        <f t="shared" si="8"/>
        <v>154.654</v>
      </c>
      <c r="HS11">
        <f t="shared" si="8"/>
        <v>151.353</v>
      </c>
      <c r="HT11">
        <f t="shared" si="8"/>
        <v>149.827</v>
      </c>
      <c r="HU11">
        <f t="shared" si="8"/>
        <v>148.776</v>
      </c>
      <c r="HV11">
        <f t="shared" si="8"/>
        <v>148.54</v>
      </c>
      <c r="HW11">
        <f t="shared" si="8"/>
        <v>149.311</v>
      </c>
      <c r="HX11">
        <f t="shared" si="8"/>
        <v>150.55</v>
      </c>
      <c r="HY11">
        <f t="shared" si="8"/>
        <v>152.421</v>
      </c>
      <c r="HZ11">
        <f t="shared" si="8"/>
        <v>154.507</v>
      </c>
      <c r="IA11">
        <f t="shared" si="8"/>
        <v>156.739</v>
      </c>
      <c r="IB11">
        <f t="shared" si="8"/>
        <v>158.338</v>
      </c>
      <c r="IC11">
        <f t="shared" si="8"/>
        <v>158.755</v>
      </c>
      <c r="ID11">
        <f t="shared" si="8"/>
        <v>155.329</v>
      </c>
      <c r="IE11">
        <f t="shared" si="8"/>
        <v>152.328</v>
      </c>
      <c r="IF11">
        <f t="shared" si="8"/>
        <v>150.789</v>
      </c>
      <c r="IG11">
        <f t="shared" si="8"/>
        <v>149.609</v>
      </c>
      <c r="IH11">
        <f t="shared" si="8"/>
        <v>148.352</v>
      </c>
      <c r="II11">
        <f t="shared" si="8"/>
        <v>149.075</v>
      </c>
      <c r="IJ11">
        <f t="shared" si="8"/>
        <v>150.564</v>
      </c>
      <c r="IK11">
        <f t="shared" si="8"/>
        <v>152.402</v>
      </c>
      <c r="IL11">
        <f t="shared" si="8"/>
        <v>154.413</v>
      </c>
      <c r="IM11">
        <f t="shared" si="8"/>
        <v>156.691</v>
      </c>
      <c r="IN11">
        <f t="shared" si="8"/>
        <v>158.235</v>
      </c>
      <c r="IO11">
        <f t="shared" si="8"/>
        <v>158.747</v>
      </c>
      <c r="IP11">
        <f t="shared" si="8"/>
        <v>155.43</v>
      </c>
      <c r="IQ11">
        <f t="shared" si="8"/>
        <v>152.493</v>
      </c>
      <c r="IR11">
        <f t="shared" si="8"/>
        <v>150.701</v>
      </c>
      <c r="IS11">
        <f t="shared" si="8"/>
        <v>149.771</v>
      </c>
      <c r="IT11">
        <f t="shared" si="8"/>
        <v>149.299</v>
      </c>
      <c r="IU11">
        <f t="shared" si="8"/>
        <v>150.128</v>
      </c>
      <c r="IV11">
        <f t="shared" si="8"/>
        <v>151.481</v>
      </c>
      <c r="IW11">
        <f t="shared" si="8"/>
        <v>153.521</v>
      </c>
      <c r="IX11">
        <f t="shared" ref="IX11:KO11" si="9">IX13+IX5</f>
        <v>155.933</v>
      </c>
      <c r="IY11">
        <f t="shared" si="9"/>
        <v>158.299</v>
      </c>
      <c r="IZ11">
        <f t="shared" si="9"/>
        <v>160.09</v>
      </c>
      <c r="JA11">
        <f t="shared" si="9"/>
        <v>160.819</v>
      </c>
      <c r="JB11">
        <f t="shared" si="9"/>
        <v>157.395</v>
      </c>
      <c r="JC11">
        <f t="shared" si="9"/>
        <v>154.078</v>
      </c>
      <c r="JD11">
        <f t="shared" si="9"/>
        <v>152.551</v>
      </c>
      <c r="JE11">
        <f t="shared" si="9"/>
        <v>151.395</v>
      </c>
      <c r="JF11">
        <f t="shared" si="9"/>
        <v>150.747</v>
      </c>
      <c r="JG11">
        <f t="shared" si="9"/>
        <v>151.541</v>
      </c>
      <c r="JH11">
        <f t="shared" si="9"/>
        <v>153.313</v>
      </c>
      <c r="JI11">
        <f t="shared" si="9"/>
        <v>155.773</v>
      </c>
      <c r="JJ11">
        <f t="shared" si="9"/>
        <v>158.6</v>
      </c>
      <c r="JK11">
        <f t="shared" si="9"/>
        <v>161.168</v>
      </c>
      <c r="JL11">
        <f t="shared" si="9"/>
        <v>163.683</v>
      </c>
      <c r="JM11">
        <f t="shared" si="9"/>
        <v>164.768</v>
      </c>
      <c r="JN11">
        <f t="shared" si="9"/>
        <v>161.351</v>
      </c>
      <c r="JO11">
        <f t="shared" si="9"/>
        <v>158.082</v>
      </c>
      <c r="JP11">
        <f t="shared" si="9"/>
        <v>155.546</v>
      </c>
      <c r="JQ11">
        <f t="shared" si="9"/>
        <v>153.986</v>
      </c>
      <c r="JR11">
        <f t="shared" si="9"/>
        <v>153.443</v>
      </c>
      <c r="JS11">
        <f t="shared" si="9"/>
        <v>154.467</v>
      </c>
      <c r="JT11">
        <f t="shared" si="9"/>
        <v>156.255</v>
      </c>
      <c r="JU11">
        <f t="shared" si="9"/>
        <v>158.131</v>
      </c>
      <c r="JV11">
        <f t="shared" si="9"/>
        <v>160.89</v>
      </c>
      <c r="JW11">
        <f t="shared" si="9"/>
        <v>163.441</v>
      </c>
      <c r="JX11">
        <f t="shared" si="9"/>
        <v>165.634</v>
      </c>
      <c r="JY11">
        <f t="shared" si="9"/>
        <v>166.699</v>
      </c>
      <c r="JZ11">
        <f t="shared" si="9"/>
        <v>163.233</v>
      </c>
      <c r="KA11">
        <f t="shared" si="9"/>
        <v>159.881</v>
      </c>
      <c r="KB11">
        <f t="shared" si="9"/>
        <v>157.436</v>
      </c>
      <c r="KC11">
        <f t="shared" si="9"/>
        <v>155.928</v>
      </c>
      <c r="KD11">
        <f t="shared" si="9"/>
        <v>157.021</v>
      </c>
      <c r="KE11">
        <f t="shared" si="9"/>
        <v>157.805</v>
      </c>
      <c r="KF11">
        <f t="shared" si="9"/>
        <v>160.188</v>
      </c>
      <c r="KG11">
        <f t="shared" si="9"/>
        <v>162.614</v>
      </c>
      <c r="KH11">
        <f t="shared" si="9"/>
        <v>165.435</v>
      </c>
      <c r="KI11">
        <f t="shared" si="9"/>
        <v>167.977</v>
      </c>
      <c r="KJ11">
        <f t="shared" si="9"/>
        <v>170.492</v>
      </c>
      <c r="KK11">
        <f t="shared" si="9"/>
        <v>170.981</v>
      </c>
      <c r="KL11">
        <f t="shared" si="9"/>
        <v>166.515</v>
      </c>
      <c r="KM11">
        <f t="shared" si="9"/>
        <v>163.859</v>
      </c>
      <c r="KN11">
        <f t="shared" si="9"/>
        <v>161.302</v>
      </c>
      <c r="KO11">
        <f t="shared" si="9"/>
        <v>159.174</v>
      </c>
    </row>
    <row r="12" ht="14.25" spans="1:301">
      <c r="A12" s="13" t="s">
        <v>2452</v>
      </c>
      <c r="B12" s="14">
        <v>68.22</v>
      </c>
      <c r="C12" s="14">
        <v>69.1</v>
      </c>
      <c r="D12" s="14">
        <v>69.85</v>
      </c>
      <c r="E12" s="14">
        <v>69.5</v>
      </c>
      <c r="F12" s="14">
        <v>68.8</v>
      </c>
      <c r="G12" s="14">
        <v>67.45</v>
      </c>
      <c r="H12" s="14">
        <v>66.9</v>
      </c>
      <c r="I12" s="14">
        <v>67.15</v>
      </c>
      <c r="J12" s="14">
        <v>68.3</v>
      </c>
      <c r="K12" s="14">
        <v>69.45</v>
      </c>
      <c r="L12" s="14">
        <v>70.12</v>
      </c>
      <c r="M12" s="14">
        <v>71.05</v>
      </c>
      <c r="N12" s="14">
        <v>72.45</v>
      </c>
      <c r="O12" s="14">
        <v>73.1</v>
      </c>
      <c r="P12" s="14">
        <v>72.8</v>
      </c>
      <c r="Q12" s="14">
        <v>71.9</v>
      </c>
      <c r="R12" s="14">
        <v>70.45</v>
      </c>
      <c r="S12" s="14">
        <v>69.12</v>
      </c>
      <c r="T12" s="14">
        <v>68.35</v>
      </c>
      <c r="U12" s="14">
        <v>69.1</v>
      </c>
      <c r="V12" s="14">
        <v>70.85</v>
      </c>
      <c r="W12" s="14">
        <v>72.15</v>
      </c>
      <c r="X12" s="14">
        <v>73.5</v>
      </c>
      <c r="Y12" s="14">
        <v>74.88</v>
      </c>
      <c r="Z12" s="14">
        <v>75.12</v>
      </c>
      <c r="AA12" s="14">
        <v>75.85</v>
      </c>
      <c r="AB12" s="14">
        <v>74.4</v>
      </c>
      <c r="AC12" s="14">
        <v>73.15</v>
      </c>
      <c r="AD12" s="14">
        <v>71.8</v>
      </c>
      <c r="AE12" s="14">
        <v>70.25</v>
      </c>
      <c r="AF12" s="14">
        <v>69.4</v>
      </c>
      <c r="AG12" s="14">
        <v>70.8</v>
      </c>
      <c r="AH12" s="14">
        <v>72.65</v>
      </c>
      <c r="AI12" s="14">
        <v>76.5</v>
      </c>
      <c r="AJ12" s="14">
        <v>79.92</v>
      </c>
      <c r="AK12" s="14">
        <v>81.45</v>
      </c>
      <c r="AL12" s="14">
        <v>80.5</v>
      </c>
      <c r="AM12" s="14">
        <v>79.8</v>
      </c>
      <c r="AN12" s="14">
        <v>78.12</v>
      </c>
      <c r="AO12" s="14">
        <v>76.45</v>
      </c>
      <c r="AP12" s="14">
        <v>74.3</v>
      </c>
      <c r="AQ12" s="14">
        <v>72.1</v>
      </c>
      <c r="AR12" s="14">
        <v>71.25</v>
      </c>
      <c r="AS12" s="14">
        <v>72.4</v>
      </c>
      <c r="AT12" s="14">
        <v>73.85</v>
      </c>
      <c r="AU12" s="14">
        <v>75.12</v>
      </c>
      <c r="AV12" s="14">
        <v>77.95</v>
      </c>
      <c r="AW12" s="14">
        <v>79.4</v>
      </c>
      <c r="AX12" s="14">
        <v>78.9</v>
      </c>
      <c r="AY12" s="14">
        <v>78.15</v>
      </c>
      <c r="AZ12" s="14">
        <v>77.4</v>
      </c>
      <c r="BA12" s="14">
        <v>75.8</v>
      </c>
      <c r="BB12" s="14">
        <v>73.25</v>
      </c>
      <c r="BC12" s="14">
        <v>71.4</v>
      </c>
      <c r="BD12" s="14">
        <v>70.65</v>
      </c>
      <c r="BE12" s="14">
        <v>71.85</v>
      </c>
      <c r="BF12" s="14">
        <v>73.12</v>
      </c>
      <c r="BG12" s="14">
        <v>74.9</v>
      </c>
      <c r="BH12" s="14">
        <v>76.55</v>
      </c>
      <c r="BI12" s="14">
        <v>78.2</v>
      </c>
      <c r="BJ12" s="14">
        <v>78.45</v>
      </c>
      <c r="BK12" s="14">
        <v>77.9</v>
      </c>
      <c r="BL12" s="14">
        <v>76.85</v>
      </c>
      <c r="BM12" s="14">
        <v>75.12</v>
      </c>
      <c r="BN12" s="14">
        <v>72.8</v>
      </c>
      <c r="BO12" s="14">
        <v>70.95</v>
      </c>
      <c r="BP12" s="14">
        <v>70.15</v>
      </c>
      <c r="BQ12" s="14">
        <v>71.3</v>
      </c>
      <c r="BR12" s="14">
        <v>72.65</v>
      </c>
      <c r="BS12" s="14">
        <v>74.2</v>
      </c>
      <c r="BT12" s="14">
        <v>76.1</v>
      </c>
      <c r="BU12" s="14">
        <v>77.85</v>
      </c>
      <c r="BV12" s="14">
        <v>77.65</v>
      </c>
      <c r="BW12" s="14">
        <v>77.2</v>
      </c>
      <c r="BX12" s="14">
        <v>76.45</v>
      </c>
      <c r="BY12" s="14">
        <v>74.9</v>
      </c>
      <c r="BZ12" s="14">
        <v>72.35</v>
      </c>
      <c r="CA12" s="14">
        <v>70.8</v>
      </c>
      <c r="CB12" s="14">
        <v>69.95</v>
      </c>
      <c r="CC12" s="14">
        <v>71.12</v>
      </c>
      <c r="CD12" s="14">
        <v>72.4</v>
      </c>
      <c r="CE12" s="14">
        <v>73.85</v>
      </c>
      <c r="CF12" s="14">
        <v>75.92</v>
      </c>
      <c r="CG12" s="14">
        <v>77.55</v>
      </c>
      <c r="CH12" s="14">
        <v>76.85</v>
      </c>
      <c r="CI12" s="14">
        <v>76.1</v>
      </c>
      <c r="CJ12" s="14">
        <v>74.8</v>
      </c>
      <c r="CK12" s="14">
        <v>72.35</v>
      </c>
      <c r="CL12" s="14">
        <v>70.4</v>
      </c>
      <c r="CM12" s="14">
        <v>68.9</v>
      </c>
      <c r="CN12" s="14">
        <v>67.85</v>
      </c>
      <c r="CO12" s="14">
        <v>69.12</v>
      </c>
      <c r="CP12" s="14">
        <v>71.45</v>
      </c>
      <c r="CQ12" s="14">
        <v>73.6</v>
      </c>
      <c r="CR12" s="14">
        <v>75.95</v>
      </c>
      <c r="CS12" s="14">
        <v>77.8</v>
      </c>
      <c r="CT12" s="14">
        <v>77.15</v>
      </c>
      <c r="CU12" s="14">
        <v>76.8</v>
      </c>
      <c r="CV12" s="14">
        <v>75.95</v>
      </c>
      <c r="CW12" s="14">
        <v>74.12</v>
      </c>
      <c r="CX12" s="14">
        <v>72.45</v>
      </c>
      <c r="CY12" s="14">
        <v>70.8</v>
      </c>
      <c r="CZ12" s="14">
        <v>69.75</v>
      </c>
      <c r="DA12" s="14">
        <v>70.9</v>
      </c>
      <c r="DB12" s="14">
        <v>72.55</v>
      </c>
      <c r="DC12" s="14">
        <v>74.3</v>
      </c>
      <c r="DD12" s="14">
        <v>76.45</v>
      </c>
      <c r="DE12" s="14">
        <v>78.6</v>
      </c>
      <c r="DF12" s="14">
        <v>79.15</v>
      </c>
      <c r="DG12" s="14">
        <v>78.4</v>
      </c>
      <c r="DH12" s="14">
        <v>77.25</v>
      </c>
      <c r="DI12" s="14">
        <v>75.8</v>
      </c>
      <c r="DJ12" s="14">
        <v>73.4</v>
      </c>
      <c r="DK12" s="14">
        <v>71.95</v>
      </c>
      <c r="DL12" s="14">
        <v>70.45</v>
      </c>
      <c r="DM12" s="14">
        <v>72.1</v>
      </c>
      <c r="DN12" s="14">
        <v>74.35</v>
      </c>
      <c r="DO12" s="14">
        <v>76.8</v>
      </c>
      <c r="DP12" s="14">
        <v>79.55</v>
      </c>
      <c r="DQ12" s="14">
        <v>82.3</v>
      </c>
      <c r="DR12" s="14">
        <v>83.15</v>
      </c>
      <c r="DS12" s="14">
        <v>82.8</v>
      </c>
      <c r="DT12" s="14">
        <v>80.45</v>
      </c>
      <c r="DU12" s="14">
        <v>78.9</v>
      </c>
      <c r="DV12" s="14">
        <v>76.12</v>
      </c>
      <c r="DW12" s="14">
        <v>73.85</v>
      </c>
      <c r="DX12" s="14">
        <v>72.1</v>
      </c>
      <c r="DY12" s="14">
        <v>74.35</v>
      </c>
      <c r="DZ12" s="14">
        <v>77.2</v>
      </c>
      <c r="EA12" s="14">
        <v>80.15</v>
      </c>
      <c r="EB12" s="14">
        <v>83.9</v>
      </c>
      <c r="EC12" s="14">
        <v>85.65</v>
      </c>
      <c r="ED12" s="14">
        <v>86.12</v>
      </c>
      <c r="EE12" s="14">
        <v>85.8</v>
      </c>
      <c r="EF12" s="14">
        <v>83.45</v>
      </c>
      <c r="EG12" s="14">
        <v>80.9</v>
      </c>
      <c r="EH12" s="14">
        <v>77.12</v>
      </c>
      <c r="EI12" s="14">
        <v>75.85</v>
      </c>
      <c r="EJ12" s="14">
        <v>74.1</v>
      </c>
      <c r="EK12" s="14">
        <v>76.35</v>
      </c>
      <c r="EL12" s="14">
        <v>80.2</v>
      </c>
      <c r="EM12" s="14">
        <v>84.15</v>
      </c>
      <c r="EN12" s="14">
        <v>87.9</v>
      </c>
      <c r="EO12" s="14">
        <v>88.65</v>
      </c>
      <c r="EP12" s="14">
        <v>87.95</v>
      </c>
      <c r="EQ12" s="14">
        <v>87.1</v>
      </c>
      <c r="ER12" s="14">
        <v>85.35</v>
      </c>
      <c r="ES12" s="14">
        <v>82.12</v>
      </c>
      <c r="ET12" s="14">
        <v>78.45</v>
      </c>
      <c r="EU12" s="14">
        <v>76.1</v>
      </c>
      <c r="EV12" s="14">
        <v>73.8</v>
      </c>
      <c r="EW12" s="14">
        <v>75.95</v>
      </c>
      <c r="EX12" s="14">
        <v>79.4</v>
      </c>
      <c r="EY12" s="14">
        <v>83.12</v>
      </c>
      <c r="EZ12" s="14">
        <v>86.45</v>
      </c>
      <c r="FA12" s="14">
        <v>87.2</v>
      </c>
      <c r="FB12" s="14">
        <v>86.15</v>
      </c>
      <c r="FC12" s="14">
        <v>85.3</v>
      </c>
      <c r="FD12" s="14">
        <v>82.4</v>
      </c>
      <c r="FE12" s="14">
        <v>79.15</v>
      </c>
      <c r="FF12" s="14">
        <v>76.2</v>
      </c>
      <c r="FG12" s="14">
        <v>74.35</v>
      </c>
      <c r="FH12" s="14">
        <v>72.15</v>
      </c>
      <c r="FI12" s="14">
        <v>73.6</v>
      </c>
      <c r="FJ12" s="14">
        <v>75.12</v>
      </c>
      <c r="FK12" s="14">
        <v>78.45</v>
      </c>
      <c r="FL12" s="14">
        <v>81.3</v>
      </c>
      <c r="FM12" s="14">
        <v>83.15</v>
      </c>
      <c r="FN12" s="14">
        <v>82.45</v>
      </c>
      <c r="FO12" s="14">
        <v>81.9</v>
      </c>
      <c r="FP12" s="14">
        <v>79.12</v>
      </c>
      <c r="FQ12" s="14">
        <v>77.4</v>
      </c>
      <c r="FR12" s="14">
        <v>75.35</v>
      </c>
      <c r="FS12" s="14">
        <v>73.8</v>
      </c>
      <c r="FT12" s="14">
        <v>72.65</v>
      </c>
      <c r="FU12" s="14">
        <v>73.95</v>
      </c>
      <c r="FV12" s="14">
        <v>75.2</v>
      </c>
      <c r="FW12" s="14">
        <v>77.12</v>
      </c>
      <c r="FX12" s="14">
        <v>79.8</v>
      </c>
      <c r="FY12" s="14">
        <v>81.45</v>
      </c>
      <c r="FZ12" s="14">
        <v>80.85</v>
      </c>
      <c r="GA12" s="14">
        <v>79.9</v>
      </c>
      <c r="GB12" s="14">
        <v>78.15</v>
      </c>
      <c r="GC12" s="14">
        <v>75.8</v>
      </c>
      <c r="GD12" s="14">
        <v>73.12</v>
      </c>
      <c r="GE12" s="14">
        <v>71.45</v>
      </c>
      <c r="GF12" s="14">
        <v>70.2</v>
      </c>
      <c r="GG12" s="14">
        <v>71.3</v>
      </c>
      <c r="GH12" s="14">
        <v>72.85</v>
      </c>
      <c r="GI12" s="14">
        <v>74.9</v>
      </c>
      <c r="GJ12" s="14">
        <v>77.15</v>
      </c>
      <c r="GK12" s="14">
        <v>79.4</v>
      </c>
      <c r="GL12" s="14">
        <v>78.95</v>
      </c>
      <c r="GM12" s="14">
        <v>78.1</v>
      </c>
      <c r="GN12" s="14">
        <v>77.25</v>
      </c>
      <c r="GO12" s="14">
        <v>75.4</v>
      </c>
      <c r="GP12" s="14">
        <v>73.15</v>
      </c>
      <c r="GQ12" s="14">
        <v>71.9</v>
      </c>
      <c r="GR12" s="14">
        <v>70.4</v>
      </c>
      <c r="GS12" s="14">
        <v>71.2</v>
      </c>
      <c r="GT12" s="14">
        <v>72.85</v>
      </c>
      <c r="GU12" s="14">
        <v>74.3</v>
      </c>
      <c r="GV12" s="14">
        <v>76.85</v>
      </c>
      <c r="GW12" s="14">
        <v>78.2</v>
      </c>
      <c r="GX12" s="14">
        <v>77.85</v>
      </c>
      <c r="GY12" s="14">
        <v>77.1</v>
      </c>
      <c r="GZ12" s="14">
        <v>76.25</v>
      </c>
      <c r="HA12" s="14">
        <v>74.9</v>
      </c>
      <c r="HB12" s="14">
        <v>72.8</v>
      </c>
      <c r="HC12" s="14">
        <v>71.15</v>
      </c>
      <c r="HD12" s="14">
        <v>69.85</v>
      </c>
      <c r="HE12" s="14">
        <v>70.9</v>
      </c>
      <c r="HF12" s="14">
        <v>72.35</v>
      </c>
      <c r="HG12" s="14">
        <v>74.1</v>
      </c>
      <c r="HH12" s="14">
        <v>76.45</v>
      </c>
      <c r="HI12" s="14">
        <v>77.9</v>
      </c>
      <c r="HJ12" s="14">
        <v>77.4</v>
      </c>
      <c r="HK12" s="14">
        <v>76.95</v>
      </c>
      <c r="HL12" s="14">
        <v>75.8</v>
      </c>
      <c r="HM12" s="14">
        <v>73.45</v>
      </c>
      <c r="HN12" s="14">
        <v>71.2</v>
      </c>
      <c r="HO12" s="14">
        <v>69.85</v>
      </c>
      <c r="HP12" s="14">
        <v>68.65</v>
      </c>
      <c r="HQ12" s="14">
        <v>69.7</v>
      </c>
      <c r="HR12" s="14">
        <v>71.12</v>
      </c>
      <c r="HS12" s="14">
        <v>73.4</v>
      </c>
      <c r="HT12" s="14">
        <v>75.9</v>
      </c>
      <c r="HU12" s="14">
        <v>77.15</v>
      </c>
      <c r="HV12" s="14">
        <v>77.6</v>
      </c>
      <c r="HW12" s="14">
        <v>77.1</v>
      </c>
      <c r="HX12" s="14">
        <v>75.95</v>
      </c>
      <c r="HY12" s="14">
        <v>73.8</v>
      </c>
      <c r="HZ12" s="14">
        <v>71.45</v>
      </c>
      <c r="IA12" s="14">
        <v>69.9</v>
      </c>
      <c r="IB12" s="14">
        <v>68.95</v>
      </c>
      <c r="IC12" s="14">
        <v>70.12</v>
      </c>
      <c r="ID12" s="14">
        <v>71.85</v>
      </c>
      <c r="IE12" s="14">
        <v>74.3</v>
      </c>
      <c r="IF12" s="14">
        <v>77.15</v>
      </c>
      <c r="IG12" s="14">
        <v>78.45</v>
      </c>
      <c r="IH12" s="14">
        <v>79.15</v>
      </c>
      <c r="II12" s="14">
        <v>78.4</v>
      </c>
      <c r="IJ12" s="14">
        <v>77.25</v>
      </c>
      <c r="IK12" s="14">
        <v>74.8</v>
      </c>
      <c r="IL12" s="14">
        <v>72.45</v>
      </c>
      <c r="IM12" s="14">
        <v>71.1</v>
      </c>
      <c r="IN12" s="14">
        <v>69.85</v>
      </c>
      <c r="IO12" s="14">
        <v>71.35</v>
      </c>
      <c r="IP12" s="14">
        <v>73.8</v>
      </c>
      <c r="IQ12" s="14">
        <v>76.95</v>
      </c>
      <c r="IR12" s="14">
        <v>80.3</v>
      </c>
      <c r="IS12" s="14">
        <v>83.15</v>
      </c>
      <c r="IT12" s="14">
        <v>84.3</v>
      </c>
      <c r="IU12" s="14">
        <v>83.65</v>
      </c>
      <c r="IV12" s="14">
        <v>81.2</v>
      </c>
      <c r="IW12" s="14">
        <v>78.45</v>
      </c>
      <c r="IX12" s="14">
        <v>75.12</v>
      </c>
      <c r="IY12" s="14">
        <v>72.45</v>
      </c>
      <c r="IZ12" s="14">
        <v>70.65</v>
      </c>
      <c r="JA12" s="14">
        <v>73.15</v>
      </c>
      <c r="JB12" s="14">
        <v>76.8</v>
      </c>
      <c r="JC12" s="14">
        <v>81.45</v>
      </c>
      <c r="JD12" s="14">
        <v>85.9</v>
      </c>
      <c r="JE12" s="14">
        <v>88.15</v>
      </c>
      <c r="JF12" s="14">
        <v>87.45</v>
      </c>
      <c r="JG12" s="14">
        <v>86.8</v>
      </c>
      <c r="JH12" s="14">
        <v>84.12</v>
      </c>
      <c r="JI12" s="14">
        <v>81.3</v>
      </c>
      <c r="JJ12" s="14">
        <v>78.45</v>
      </c>
      <c r="JK12" s="14">
        <v>76.1</v>
      </c>
      <c r="JL12" s="14">
        <v>74.15</v>
      </c>
      <c r="JM12" s="14">
        <v>76.8</v>
      </c>
      <c r="JN12" s="14">
        <v>79.45</v>
      </c>
      <c r="JO12" s="14">
        <v>83.12</v>
      </c>
      <c r="JP12" s="14">
        <v>86.6</v>
      </c>
      <c r="JQ12" s="14">
        <v>88.45</v>
      </c>
      <c r="JR12" s="14">
        <v>88.25</v>
      </c>
      <c r="JS12" s="14">
        <v>87.6</v>
      </c>
      <c r="JT12" s="14">
        <v>85.35</v>
      </c>
      <c r="JU12" s="14">
        <v>82.1</v>
      </c>
      <c r="JV12" s="14">
        <v>79.45</v>
      </c>
      <c r="JW12" s="14">
        <v>76.85</v>
      </c>
      <c r="JX12" s="14">
        <v>73.15</v>
      </c>
      <c r="JY12" s="14">
        <v>75.6</v>
      </c>
      <c r="JZ12" s="14">
        <v>78.12</v>
      </c>
      <c r="KA12" s="14">
        <v>82.4</v>
      </c>
      <c r="KB12" s="14">
        <v>86.15</v>
      </c>
      <c r="KC12" s="14">
        <v>87.9</v>
      </c>
      <c r="KD12" s="14">
        <v>87.65</v>
      </c>
      <c r="KE12" s="14">
        <v>87.12</v>
      </c>
      <c r="KF12" s="14">
        <v>84.95</v>
      </c>
      <c r="KG12" s="14">
        <v>81.3</v>
      </c>
      <c r="KH12" s="14">
        <v>78.15</v>
      </c>
      <c r="KI12" s="14">
        <v>75.4</v>
      </c>
      <c r="KJ12" s="14">
        <v>72.9</v>
      </c>
      <c r="KK12" s="14">
        <v>74.85</v>
      </c>
      <c r="KL12" s="14">
        <v>77.2</v>
      </c>
      <c r="KM12" s="14">
        <v>81.65</v>
      </c>
      <c r="KN12" s="14">
        <v>85.12</v>
      </c>
      <c r="KO12" s="14">
        <v>87.25</v>
      </c>
    </row>
    <row r="13" spans="1:301">
      <c r="A13" s="13" t="s">
        <v>2453</v>
      </c>
      <c r="B13" s="13">
        <v>37.052</v>
      </c>
      <c r="C13" s="13">
        <v>37.149</v>
      </c>
      <c r="D13" s="13">
        <v>37.253</v>
      </c>
      <c r="E13" s="13">
        <v>37.382</v>
      </c>
      <c r="F13" s="13">
        <v>37.442</v>
      </c>
      <c r="G13" s="13">
        <v>37.382</v>
      </c>
      <c r="H13" s="13">
        <v>37.174</v>
      </c>
      <c r="I13" s="13">
        <v>36.985</v>
      </c>
      <c r="J13" s="13">
        <v>36.816</v>
      </c>
      <c r="K13" s="13">
        <v>36.842</v>
      </c>
      <c r="L13" s="13">
        <v>36.969</v>
      </c>
      <c r="M13" s="13">
        <v>37.118</v>
      </c>
      <c r="N13" s="13">
        <v>37.245</v>
      </c>
      <c r="O13" s="13">
        <v>37.337</v>
      </c>
      <c r="P13" s="13">
        <v>37.442</v>
      </c>
      <c r="Q13" s="13">
        <v>37.539</v>
      </c>
      <c r="R13" s="13">
        <v>37.593</v>
      </c>
      <c r="S13" s="13">
        <v>37.532</v>
      </c>
      <c r="T13" s="13">
        <v>37.328</v>
      </c>
      <c r="U13" s="13">
        <v>37.137</v>
      </c>
      <c r="V13" s="13">
        <v>36.934</v>
      </c>
      <c r="W13" s="13">
        <v>36.983</v>
      </c>
      <c r="X13" s="13">
        <v>37.126</v>
      </c>
      <c r="Y13" s="13">
        <v>37.268</v>
      </c>
      <c r="Z13" s="13">
        <v>37.406</v>
      </c>
      <c r="AA13" s="13">
        <v>37.487</v>
      </c>
      <c r="AB13" s="13">
        <v>37.592</v>
      </c>
      <c r="AC13" s="13">
        <v>37.71</v>
      </c>
      <c r="AD13" s="13">
        <v>37.818</v>
      </c>
      <c r="AE13" s="13">
        <v>37.751</v>
      </c>
      <c r="AF13" s="13">
        <v>37.543</v>
      </c>
      <c r="AG13" s="13">
        <v>37.318</v>
      </c>
      <c r="AH13" s="13">
        <v>37.137</v>
      </c>
      <c r="AI13" s="13">
        <v>37.179</v>
      </c>
      <c r="AJ13" s="13">
        <v>37.311</v>
      </c>
      <c r="AK13" s="13">
        <v>37.472</v>
      </c>
      <c r="AL13" s="13">
        <v>37.654</v>
      </c>
      <c r="AM13" s="13">
        <v>37.73</v>
      </c>
      <c r="AN13" s="13">
        <v>37.837</v>
      </c>
      <c r="AO13" s="13">
        <v>37.98</v>
      </c>
      <c r="AP13" s="13">
        <v>38.045</v>
      </c>
      <c r="AQ13" s="13">
        <v>37.991</v>
      </c>
      <c r="AR13" s="13">
        <v>37.744</v>
      </c>
      <c r="AS13" s="13">
        <v>37.547</v>
      </c>
      <c r="AT13" s="13">
        <v>37.391</v>
      </c>
      <c r="AU13" s="13">
        <v>37.407</v>
      </c>
      <c r="AV13" s="13">
        <v>37.546</v>
      </c>
      <c r="AW13" s="13">
        <v>37.717</v>
      </c>
      <c r="AX13" s="13">
        <v>37.847</v>
      </c>
      <c r="AY13" s="13">
        <v>37.931</v>
      </c>
      <c r="AZ13" s="13">
        <v>38.039</v>
      </c>
      <c r="BA13" s="13">
        <v>38.171</v>
      </c>
      <c r="BB13" s="13">
        <v>38.247</v>
      </c>
      <c r="BC13" s="13">
        <v>38.22</v>
      </c>
      <c r="BD13" s="13">
        <v>37.962</v>
      </c>
      <c r="BE13" s="13">
        <v>37.756</v>
      </c>
      <c r="BF13" s="13">
        <v>37.593</v>
      </c>
      <c r="BG13" s="13">
        <v>37.615</v>
      </c>
      <c r="BH13" s="13">
        <v>37.741</v>
      </c>
      <c r="BI13" s="13">
        <v>37.893</v>
      </c>
      <c r="BJ13" s="13">
        <v>38.019</v>
      </c>
      <c r="BK13" s="13">
        <v>38.116</v>
      </c>
      <c r="BL13" s="13">
        <v>38.235</v>
      </c>
      <c r="BM13" s="13">
        <v>38.361</v>
      </c>
      <c r="BN13" s="13">
        <v>38.434</v>
      </c>
      <c r="BO13" s="13">
        <v>38.402</v>
      </c>
      <c r="BP13" s="13">
        <v>38.21</v>
      </c>
      <c r="BQ13" s="13">
        <v>38.001</v>
      </c>
      <c r="BR13" s="13">
        <v>37.81</v>
      </c>
      <c r="BS13" s="13">
        <v>37.841</v>
      </c>
      <c r="BT13" s="13">
        <v>37.962</v>
      </c>
      <c r="BU13" s="13">
        <v>38.125</v>
      </c>
      <c r="BV13" s="13">
        <v>38.245</v>
      </c>
      <c r="BW13" s="13">
        <v>38.368</v>
      </c>
      <c r="BX13" s="13">
        <v>38.429</v>
      </c>
      <c r="BY13" s="13">
        <v>38.591</v>
      </c>
      <c r="BZ13" s="13">
        <v>38.641</v>
      </c>
      <c r="CA13" s="13">
        <v>38.591</v>
      </c>
      <c r="CB13" s="13">
        <v>38.413</v>
      </c>
      <c r="CC13" s="13">
        <v>38.2</v>
      </c>
      <c r="CD13" s="13">
        <v>38.018</v>
      </c>
      <c r="CE13" s="13">
        <v>38.054</v>
      </c>
      <c r="CF13" s="13">
        <v>38.171</v>
      </c>
      <c r="CG13" s="13">
        <v>38.342</v>
      </c>
      <c r="CH13" s="13">
        <v>38.388</v>
      </c>
      <c r="CI13" s="13">
        <v>38.5</v>
      </c>
      <c r="CJ13" s="13">
        <v>38.596</v>
      </c>
      <c r="CK13" s="13">
        <v>38.727</v>
      </c>
      <c r="CL13" s="13">
        <v>38.85</v>
      </c>
      <c r="CM13" s="13">
        <v>38.808</v>
      </c>
      <c r="CN13" s="13">
        <v>38.642</v>
      </c>
      <c r="CO13" s="13">
        <v>38.415</v>
      </c>
      <c r="CP13" s="13">
        <v>38.235</v>
      </c>
      <c r="CQ13" s="13">
        <v>38.281</v>
      </c>
      <c r="CR13" s="13">
        <v>38.41</v>
      </c>
      <c r="CS13" s="13">
        <v>38.556</v>
      </c>
      <c r="CT13" s="13">
        <v>38.591</v>
      </c>
      <c r="CU13" s="13">
        <v>38.675</v>
      </c>
      <c r="CV13" s="13">
        <v>38.761</v>
      </c>
      <c r="CW13" s="13">
        <v>38.926</v>
      </c>
      <c r="CX13" s="13">
        <v>39.019</v>
      </c>
      <c r="CY13" s="13">
        <v>38.955</v>
      </c>
      <c r="CZ13" s="13">
        <v>38.76</v>
      </c>
      <c r="DA13" s="13">
        <v>38.564</v>
      </c>
      <c r="DB13" s="13">
        <v>38.392</v>
      </c>
      <c r="DC13" s="13">
        <v>38.434</v>
      </c>
      <c r="DD13" s="13">
        <v>38.565</v>
      </c>
      <c r="DE13" s="13">
        <v>38.735</v>
      </c>
      <c r="DF13" s="13">
        <v>38.845</v>
      </c>
      <c r="DG13" s="13">
        <v>38.982</v>
      </c>
      <c r="DH13" s="13">
        <v>39.107</v>
      </c>
      <c r="DI13" s="13">
        <v>39.246</v>
      </c>
      <c r="DJ13" s="13">
        <v>39.318</v>
      </c>
      <c r="DK13" s="13">
        <v>39.212</v>
      </c>
      <c r="DL13" s="13">
        <v>39.017</v>
      </c>
      <c r="DM13" s="13">
        <v>38.815</v>
      </c>
      <c r="DN13" s="13">
        <v>38.658</v>
      </c>
      <c r="DO13" s="13">
        <v>38.718</v>
      </c>
      <c r="DP13" s="13">
        <v>38.859</v>
      </c>
      <c r="DQ13" s="13">
        <v>39.014</v>
      </c>
      <c r="DR13" s="13">
        <v>39.103</v>
      </c>
      <c r="DS13" s="13">
        <v>39.18</v>
      </c>
      <c r="DT13" s="13">
        <v>39.251</v>
      </c>
      <c r="DU13" s="13">
        <v>39.431</v>
      </c>
      <c r="DV13" s="13">
        <v>39.449</v>
      </c>
      <c r="DW13" s="13">
        <v>39.382</v>
      </c>
      <c r="DX13" s="13">
        <v>39.236</v>
      </c>
      <c r="DY13" s="13">
        <v>39.023</v>
      </c>
      <c r="DZ13" s="13">
        <v>38.894</v>
      </c>
      <c r="EA13" s="13">
        <v>38.926</v>
      </c>
      <c r="EB13" s="13">
        <v>39.041</v>
      </c>
      <c r="EC13" s="13">
        <v>39.201</v>
      </c>
      <c r="ED13" s="13">
        <v>39.312</v>
      </c>
      <c r="EE13" s="13">
        <v>39.416</v>
      </c>
      <c r="EF13" s="13">
        <v>39.485</v>
      </c>
      <c r="EG13" s="13">
        <v>39.618</v>
      </c>
      <c r="EH13" s="13">
        <v>39.678</v>
      </c>
      <c r="EI13" s="13">
        <v>39.618</v>
      </c>
      <c r="EJ13" s="13">
        <v>39.439</v>
      </c>
      <c r="EK13" s="13">
        <v>39.241</v>
      </c>
      <c r="EL13" s="13">
        <v>39.101</v>
      </c>
      <c r="EM13" s="13">
        <v>39.138</v>
      </c>
      <c r="EN13" s="13">
        <v>39.291</v>
      </c>
      <c r="EO13" s="13">
        <v>39.428</v>
      </c>
      <c r="EP13" s="13">
        <v>39.511</v>
      </c>
      <c r="EQ13" s="13">
        <v>39.616</v>
      </c>
      <c r="ER13" s="13">
        <v>39.681</v>
      </c>
      <c r="ES13" s="13">
        <v>39.834</v>
      </c>
      <c r="ET13" s="13">
        <v>39.928</v>
      </c>
      <c r="EU13" s="13">
        <v>39.898</v>
      </c>
      <c r="EV13" s="13">
        <v>39.705</v>
      </c>
      <c r="EW13" s="13">
        <v>39.488</v>
      </c>
      <c r="EX13" s="13">
        <v>39.32</v>
      </c>
      <c r="EY13" s="13">
        <v>39.342</v>
      </c>
      <c r="EZ13" s="13">
        <v>39.489</v>
      </c>
      <c r="FA13" s="13">
        <v>39.648</v>
      </c>
      <c r="FB13" s="13">
        <v>39.766</v>
      </c>
      <c r="FC13" s="13">
        <v>39.777</v>
      </c>
      <c r="FD13" s="13">
        <v>39.93</v>
      </c>
      <c r="FE13" s="13">
        <v>40.118</v>
      </c>
      <c r="FF13" s="13">
        <v>40.162</v>
      </c>
      <c r="FG13" s="13">
        <v>40.107</v>
      </c>
      <c r="FH13" s="13">
        <v>39.89</v>
      </c>
      <c r="FI13" s="13">
        <v>39.686</v>
      </c>
      <c r="FJ13" s="13">
        <v>39.512</v>
      </c>
      <c r="FK13" s="13">
        <v>39.573</v>
      </c>
      <c r="FL13" s="13">
        <v>39.709</v>
      </c>
      <c r="FM13" s="13">
        <v>39.871</v>
      </c>
      <c r="FN13" s="13">
        <v>39.985</v>
      </c>
      <c r="FO13" s="13">
        <v>40.031</v>
      </c>
      <c r="FP13" s="13">
        <v>40.152</v>
      </c>
      <c r="FQ13" s="13">
        <v>40.308</v>
      </c>
      <c r="FR13" s="13">
        <v>40.37</v>
      </c>
      <c r="FS13" s="13">
        <v>40.251</v>
      </c>
      <c r="FT13" s="13">
        <v>40.107</v>
      </c>
      <c r="FU13" s="13">
        <v>39.88</v>
      </c>
      <c r="FV13" s="13">
        <v>39.735</v>
      </c>
      <c r="FW13" s="13">
        <v>39.794</v>
      </c>
      <c r="FX13" s="13">
        <v>39.953</v>
      </c>
      <c r="FY13" s="13">
        <v>40.144</v>
      </c>
      <c r="FZ13" s="13">
        <v>40.252</v>
      </c>
      <c r="GA13" s="13">
        <v>40.345</v>
      </c>
      <c r="GB13" s="13">
        <v>40.431</v>
      </c>
      <c r="GC13" s="13">
        <v>40.633</v>
      </c>
      <c r="GD13" s="13">
        <v>40.701</v>
      </c>
      <c r="GE13" s="13">
        <v>40.612</v>
      </c>
      <c r="GF13" s="13">
        <v>39.439</v>
      </c>
      <c r="GG13" s="13">
        <v>40.174</v>
      </c>
      <c r="GH13" s="13">
        <v>40.033</v>
      </c>
      <c r="GI13" s="13">
        <v>40.078</v>
      </c>
      <c r="GJ13" s="13">
        <v>40.219</v>
      </c>
      <c r="GK13" s="13">
        <v>40.41</v>
      </c>
      <c r="GL13" s="13">
        <v>40.537</v>
      </c>
      <c r="GM13" s="13">
        <v>40.642</v>
      </c>
      <c r="GN13" s="13">
        <v>40.718</v>
      </c>
      <c r="GO13" s="13">
        <v>40.845</v>
      </c>
      <c r="GP13" s="13">
        <v>40.965</v>
      </c>
      <c r="GQ13" s="13">
        <v>40.922</v>
      </c>
      <c r="GR13" s="13">
        <v>40.725</v>
      </c>
      <c r="GS13" s="13">
        <v>40.507</v>
      </c>
      <c r="GT13" s="13">
        <v>40.338</v>
      </c>
      <c r="GU13" s="13">
        <v>40.363</v>
      </c>
      <c r="GV13" s="13">
        <v>40.514</v>
      </c>
      <c r="GW13" s="13">
        <v>40.681</v>
      </c>
      <c r="GX13" s="13">
        <v>40.798</v>
      </c>
      <c r="GY13" s="13">
        <v>40.835</v>
      </c>
      <c r="GZ13" s="13">
        <v>40.941</v>
      </c>
      <c r="HA13" s="13">
        <v>41.031</v>
      </c>
      <c r="HB13" s="13">
        <v>41.131</v>
      </c>
      <c r="HC13" s="13">
        <v>41.079</v>
      </c>
      <c r="HD13" s="13">
        <v>40.871</v>
      </c>
      <c r="HE13" s="13">
        <v>40.699</v>
      </c>
      <c r="HF13" s="13">
        <v>40.551</v>
      </c>
      <c r="HG13" s="13">
        <v>40.6</v>
      </c>
      <c r="HH13" s="13">
        <v>40.802</v>
      </c>
      <c r="HI13" s="13">
        <v>40.907</v>
      </c>
      <c r="HJ13" s="13">
        <v>41.083</v>
      </c>
      <c r="HK13" s="13">
        <v>41.175</v>
      </c>
      <c r="HL13" s="13">
        <v>41.197</v>
      </c>
      <c r="HM13" s="13">
        <v>41.332</v>
      </c>
      <c r="HN13" s="13">
        <v>41.466</v>
      </c>
      <c r="HO13" s="13">
        <v>41.392</v>
      </c>
      <c r="HP13" s="13">
        <v>41.177</v>
      </c>
      <c r="HQ13" s="13">
        <v>40.995</v>
      </c>
      <c r="HR13" s="13">
        <v>40.854</v>
      </c>
      <c r="HS13" s="13">
        <v>40.853</v>
      </c>
      <c r="HT13" s="13">
        <v>41.027</v>
      </c>
      <c r="HU13" s="13">
        <v>41.176</v>
      </c>
      <c r="HV13" s="13">
        <v>41.34</v>
      </c>
      <c r="HW13" s="13">
        <v>41.411</v>
      </c>
      <c r="HX13" s="13">
        <v>41.45</v>
      </c>
      <c r="HY13" s="13">
        <v>41.621</v>
      </c>
      <c r="HZ13" s="13">
        <v>41.707</v>
      </c>
      <c r="IA13" s="13">
        <v>41.639</v>
      </c>
      <c r="IB13" s="13">
        <v>41.438</v>
      </c>
      <c r="IC13" s="13">
        <v>41.255</v>
      </c>
      <c r="ID13" s="13">
        <v>41.129</v>
      </c>
      <c r="IE13" s="13">
        <v>41.128</v>
      </c>
      <c r="IF13" s="13">
        <v>41.289</v>
      </c>
      <c r="IG13" s="13">
        <v>41.409</v>
      </c>
      <c r="IH13" s="13">
        <v>41.552</v>
      </c>
      <c r="II13" s="13">
        <v>41.675</v>
      </c>
      <c r="IJ13" s="13">
        <v>41.764</v>
      </c>
      <c r="IK13" s="13">
        <v>41.902</v>
      </c>
      <c r="IL13" s="13">
        <v>41.913</v>
      </c>
      <c r="IM13" s="13">
        <v>41.891</v>
      </c>
      <c r="IN13" s="13">
        <v>41.635</v>
      </c>
      <c r="IO13" s="13">
        <v>41.447</v>
      </c>
      <c r="IP13" s="13">
        <v>41.33</v>
      </c>
      <c r="IQ13" s="13">
        <v>41.393</v>
      </c>
      <c r="IR13" s="13">
        <v>41.501</v>
      </c>
      <c r="IS13" s="13">
        <v>41.671</v>
      </c>
      <c r="IT13" s="13">
        <v>41.799</v>
      </c>
      <c r="IU13" s="13">
        <v>41.928</v>
      </c>
      <c r="IV13" s="13">
        <v>41.881</v>
      </c>
      <c r="IW13" s="13">
        <v>42.021</v>
      </c>
      <c r="IX13" s="13">
        <v>42.133</v>
      </c>
      <c r="IY13" s="13">
        <v>42.099</v>
      </c>
      <c r="IZ13" s="13">
        <v>41.89</v>
      </c>
      <c r="JA13" s="13">
        <v>41.719</v>
      </c>
      <c r="JB13" s="13">
        <v>41.595</v>
      </c>
      <c r="JC13" s="13">
        <v>41.578</v>
      </c>
      <c r="JD13" s="13">
        <v>41.751</v>
      </c>
      <c r="JE13" s="13">
        <v>41.895</v>
      </c>
      <c r="JF13" s="13">
        <v>41.947</v>
      </c>
      <c r="JG13" s="13">
        <v>42.041</v>
      </c>
      <c r="JH13" s="13">
        <v>42.113</v>
      </c>
      <c r="JI13" s="13">
        <v>42.273</v>
      </c>
      <c r="JJ13" s="13">
        <v>42.4</v>
      </c>
      <c r="JK13" s="13">
        <v>42.368</v>
      </c>
      <c r="JL13" s="13">
        <v>42.183</v>
      </c>
      <c r="JM13" s="13">
        <v>41.968</v>
      </c>
      <c r="JN13" s="13">
        <v>41.851</v>
      </c>
      <c r="JO13" s="13">
        <v>41.882</v>
      </c>
      <c r="JP13" s="13">
        <v>42.046</v>
      </c>
      <c r="JQ13" s="13">
        <v>42.186</v>
      </c>
      <c r="JR13" s="13">
        <v>42.243</v>
      </c>
      <c r="JS13" s="13">
        <v>42.367</v>
      </c>
      <c r="JT13" s="13">
        <v>42.455</v>
      </c>
      <c r="JU13" s="13">
        <v>42.631</v>
      </c>
      <c r="JV13" s="13">
        <v>42.69</v>
      </c>
      <c r="JW13" s="13">
        <v>42.641</v>
      </c>
      <c r="JX13" s="13">
        <v>42.434</v>
      </c>
      <c r="JY13" s="13">
        <v>42.199</v>
      </c>
      <c r="JZ13" s="13">
        <v>42.033</v>
      </c>
      <c r="KA13" s="13">
        <v>42.081</v>
      </c>
      <c r="KB13" s="13">
        <v>42.236</v>
      </c>
      <c r="KC13" s="13">
        <v>42.428</v>
      </c>
      <c r="KD13" s="13">
        <v>42.521</v>
      </c>
      <c r="KE13" s="13">
        <v>42.605</v>
      </c>
      <c r="KF13" s="13">
        <v>42.688</v>
      </c>
      <c r="KG13" s="13">
        <v>42.814</v>
      </c>
      <c r="KH13" s="13">
        <v>42.935</v>
      </c>
      <c r="KI13" s="13">
        <v>42.877</v>
      </c>
      <c r="KJ13" s="13">
        <v>42.692</v>
      </c>
      <c r="KK13" s="13">
        <v>42.481</v>
      </c>
      <c r="KL13" s="13">
        <v>42.315</v>
      </c>
      <c r="KM13" s="13">
        <v>42.359</v>
      </c>
      <c r="KN13" s="13">
        <v>42.502</v>
      </c>
      <c r="KO13" s="13">
        <v>42.674</v>
      </c>
    </row>
    <row r="14" s="7" customFormat="1" spans="1:301">
      <c r="A14" s="9" t="s">
        <v>2454</v>
      </c>
      <c r="B14" s="9">
        <v>57.6</v>
      </c>
      <c r="C14" s="9">
        <v>57.45</v>
      </c>
      <c r="D14" s="9">
        <v>57.2</v>
      </c>
      <c r="E14" s="9">
        <v>54.8</v>
      </c>
      <c r="F14" s="9">
        <v>56.1</v>
      </c>
      <c r="G14" s="9">
        <v>56.8</v>
      </c>
      <c r="H14" s="9">
        <v>57.05</v>
      </c>
      <c r="I14" s="9">
        <v>57.25</v>
      </c>
      <c r="J14" s="9">
        <v>56.5</v>
      </c>
      <c r="K14" s="9">
        <v>56.9</v>
      </c>
      <c r="L14" s="9">
        <v>55.9</v>
      </c>
      <c r="M14" s="9">
        <v>56.3</v>
      </c>
      <c r="N14" s="9">
        <v>57.1</v>
      </c>
      <c r="O14" s="9">
        <v>57.4</v>
      </c>
      <c r="P14" s="9">
        <v>57.85</v>
      </c>
      <c r="Q14" s="9">
        <v>58.1</v>
      </c>
      <c r="R14" s="9">
        <v>57.65</v>
      </c>
      <c r="S14" s="9">
        <v>57.9</v>
      </c>
      <c r="T14" s="9">
        <v>55.8</v>
      </c>
      <c r="U14" s="9">
        <v>57.2</v>
      </c>
      <c r="V14" s="9">
        <v>58.4</v>
      </c>
      <c r="W14" s="9">
        <v>58.9</v>
      </c>
      <c r="X14" s="9">
        <v>59.3</v>
      </c>
      <c r="Y14" s="9">
        <v>60.2</v>
      </c>
      <c r="Z14" s="9">
        <v>60.45</v>
      </c>
      <c r="AA14" s="9">
        <v>59.8</v>
      </c>
      <c r="AB14" s="9">
        <v>60.2</v>
      </c>
      <c r="AC14" s="9">
        <v>60.8</v>
      </c>
      <c r="AD14" s="9">
        <v>61.2</v>
      </c>
      <c r="AE14" s="9">
        <v>61.5</v>
      </c>
      <c r="AF14" s="9">
        <v>61.8</v>
      </c>
      <c r="AG14" s="9">
        <v>61.95</v>
      </c>
      <c r="AH14" s="9">
        <v>62.4</v>
      </c>
      <c r="AI14" s="9">
        <v>62.8</v>
      </c>
      <c r="AJ14" s="9">
        <v>58.5</v>
      </c>
      <c r="AK14" s="9">
        <v>61.8</v>
      </c>
      <c r="AL14" s="9">
        <v>62.25</v>
      </c>
      <c r="AM14" s="9">
        <v>61.9</v>
      </c>
      <c r="AN14" s="9">
        <v>62.35</v>
      </c>
      <c r="AO14" s="9">
        <v>62.1</v>
      </c>
      <c r="AP14" s="9">
        <v>62.5</v>
      </c>
      <c r="AQ14" s="9">
        <v>62.7</v>
      </c>
      <c r="AR14" s="9">
        <v>62.45</v>
      </c>
      <c r="AS14" s="9">
        <v>62.85</v>
      </c>
      <c r="AT14" s="9">
        <v>63.1</v>
      </c>
      <c r="AU14" s="9">
        <v>62.95</v>
      </c>
      <c r="AV14" s="9">
        <v>61.4</v>
      </c>
      <c r="AW14" s="9">
        <v>62.85</v>
      </c>
      <c r="AX14" s="9">
        <v>63.2</v>
      </c>
      <c r="AY14" s="9">
        <v>59.5</v>
      </c>
      <c r="AZ14" s="9">
        <v>61.8</v>
      </c>
      <c r="BA14" s="9">
        <v>62.5</v>
      </c>
      <c r="BB14" s="9">
        <v>62.9</v>
      </c>
      <c r="BC14" s="9">
        <v>63.1</v>
      </c>
      <c r="BD14" s="9">
        <v>63.35</v>
      </c>
      <c r="BE14" s="9">
        <v>63.5</v>
      </c>
      <c r="BF14" s="9">
        <v>62.1</v>
      </c>
      <c r="BG14" s="9">
        <v>63.8</v>
      </c>
      <c r="BH14" s="9">
        <v>64.2</v>
      </c>
      <c r="BI14" s="9">
        <v>64.5</v>
      </c>
      <c r="BJ14" s="9">
        <v>64.65</v>
      </c>
      <c r="BK14" s="9">
        <v>64.8</v>
      </c>
      <c r="BL14" s="9">
        <v>65.05</v>
      </c>
      <c r="BM14" s="9">
        <v>65.25</v>
      </c>
      <c r="BN14" s="9">
        <v>65.4</v>
      </c>
      <c r="BO14" s="9">
        <v>65.6</v>
      </c>
      <c r="BP14" s="9">
        <v>65.85</v>
      </c>
      <c r="BQ14" s="9">
        <v>66</v>
      </c>
      <c r="BR14" s="9">
        <v>66.25</v>
      </c>
      <c r="BS14" s="9">
        <v>66.5</v>
      </c>
      <c r="BT14" s="9">
        <v>66.75</v>
      </c>
      <c r="BU14" s="9">
        <v>65.1</v>
      </c>
      <c r="BV14" s="9">
        <v>65.4</v>
      </c>
      <c r="BW14" s="9">
        <v>65.65</v>
      </c>
      <c r="BX14" s="9">
        <v>65.9</v>
      </c>
      <c r="BY14" s="9">
        <v>66.1</v>
      </c>
      <c r="BZ14" s="9">
        <v>66.35</v>
      </c>
      <c r="CA14" s="9">
        <v>66.55</v>
      </c>
      <c r="CB14" s="9">
        <v>66.8</v>
      </c>
      <c r="CC14" s="9">
        <v>66.95</v>
      </c>
      <c r="CD14" s="9">
        <v>67.1</v>
      </c>
      <c r="CE14" s="9">
        <v>67.25</v>
      </c>
      <c r="CF14" s="9">
        <v>67.4</v>
      </c>
      <c r="CG14" s="9">
        <v>67.6</v>
      </c>
      <c r="CH14" s="9">
        <v>67.75</v>
      </c>
      <c r="CI14" s="9">
        <v>67.85</v>
      </c>
      <c r="CJ14" s="9">
        <v>67.9</v>
      </c>
      <c r="CK14" s="9">
        <v>67.8</v>
      </c>
      <c r="CL14" s="9">
        <v>68.05</v>
      </c>
      <c r="CM14" s="9">
        <v>68.15</v>
      </c>
      <c r="CN14" s="9">
        <v>68.25</v>
      </c>
      <c r="CO14" s="9">
        <v>68.4</v>
      </c>
      <c r="CP14" s="9">
        <v>68.35</v>
      </c>
      <c r="CQ14" s="9">
        <v>68.6</v>
      </c>
      <c r="CR14" s="9">
        <v>68.8</v>
      </c>
      <c r="CS14" s="9">
        <v>69</v>
      </c>
      <c r="CT14" s="9">
        <v>69.2</v>
      </c>
      <c r="CU14" s="9">
        <v>69.35</v>
      </c>
      <c r="CV14" s="9">
        <v>69.5</v>
      </c>
      <c r="CW14" s="9">
        <v>69.45</v>
      </c>
      <c r="CX14" s="9">
        <v>69.6</v>
      </c>
      <c r="CY14" s="9">
        <v>69.85</v>
      </c>
      <c r="CZ14" s="9">
        <v>70.15</v>
      </c>
      <c r="DA14" s="9">
        <v>69.95</v>
      </c>
      <c r="DB14" s="9">
        <v>70.2</v>
      </c>
      <c r="DC14" s="9">
        <v>70.05</v>
      </c>
      <c r="DD14" s="9">
        <v>69.1</v>
      </c>
      <c r="DE14" s="9">
        <v>68.4</v>
      </c>
      <c r="DF14" s="9">
        <v>67.9</v>
      </c>
      <c r="DG14" s="9">
        <v>67.5</v>
      </c>
      <c r="DH14" s="9">
        <v>67.05</v>
      </c>
      <c r="DI14" s="9">
        <v>66.4</v>
      </c>
      <c r="DJ14" s="9">
        <v>65.9</v>
      </c>
      <c r="DK14" s="9">
        <v>65.35</v>
      </c>
      <c r="DL14" s="9">
        <v>65.1</v>
      </c>
      <c r="DM14" s="9">
        <v>64.2</v>
      </c>
      <c r="DN14" s="9">
        <v>64.65</v>
      </c>
      <c r="DO14" s="9">
        <v>64.9</v>
      </c>
      <c r="DP14" s="9">
        <v>64.45</v>
      </c>
      <c r="DQ14" s="9">
        <v>63.8</v>
      </c>
      <c r="DR14" s="9">
        <v>63.6</v>
      </c>
      <c r="DS14" s="9">
        <v>63.15</v>
      </c>
      <c r="DT14" s="9">
        <v>60.4</v>
      </c>
      <c r="DU14" s="9">
        <v>61.2</v>
      </c>
      <c r="DV14" s="9">
        <v>61.8</v>
      </c>
      <c r="DW14" s="9">
        <v>62.1</v>
      </c>
      <c r="DX14" s="9">
        <v>61.95</v>
      </c>
      <c r="DY14" s="9">
        <v>61.7</v>
      </c>
      <c r="DZ14" s="9">
        <v>61.15</v>
      </c>
      <c r="EA14" s="9">
        <v>60.85</v>
      </c>
      <c r="EB14" s="9">
        <v>61.3</v>
      </c>
      <c r="EC14" s="9">
        <v>60.9</v>
      </c>
      <c r="ED14" s="9">
        <v>61.1</v>
      </c>
      <c r="EE14" s="9">
        <v>60.6</v>
      </c>
      <c r="EF14" s="9">
        <v>57.8</v>
      </c>
      <c r="EG14" s="9">
        <v>60.15</v>
      </c>
      <c r="EH14" s="9">
        <v>60.4</v>
      </c>
      <c r="EI14" s="9">
        <v>60.85</v>
      </c>
      <c r="EJ14" s="9">
        <v>61.2</v>
      </c>
      <c r="EK14" s="9">
        <v>59.4</v>
      </c>
      <c r="EL14" s="9">
        <v>61.5</v>
      </c>
      <c r="EM14" s="9">
        <v>61.85</v>
      </c>
      <c r="EN14" s="9">
        <v>62.3</v>
      </c>
      <c r="EO14" s="9">
        <v>62.6</v>
      </c>
      <c r="EP14" s="9">
        <v>62.4</v>
      </c>
      <c r="EQ14" s="9">
        <v>62.05</v>
      </c>
      <c r="ER14" s="9">
        <v>61.8</v>
      </c>
      <c r="ES14" s="9">
        <v>62.2</v>
      </c>
      <c r="ET14" s="9">
        <v>60.4</v>
      </c>
      <c r="EU14" s="9">
        <v>61.1</v>
      </c>
      <c r="EV14" s="9">
        <v>61.35</v>
      </c>
      <c r="EW14" s="9">
        <v>61.6</v>
      </c>
      <c r="EX14" s="9">
        <v>61.9</v>
      </c>
      <c r="EY14" s="9">
        <v>62.25</v>
      </c>
      <c r="EZ14" s="9">
        <v>62.5</v>
      </c>
      <c r="FA14" s="9">
        <v>62.95</v>
      </c>
      <c r="FB14" s="9">
        <v>62.6</v>
      </c>
      <c r="FC14" s="9">
        <v>61.8</v>
      </c>
      <c r="FD14" s="9">
        <v>62.95</v>
      </c>
      <c r="FE14" s="9">
        <v>63.3</v>
      </c>
      <c r="FF14" s="9">
        <v>63.15</v>
      </c>
      <c r="FG14" s="9">
        <v>63.45</v>
      </c>
      <c r="FH14" s="9">
        <v>63.75</v>
      </c>
      <c r="FI14" s="9">
        <v>63.9</v>
      </c>
      <c r="FJ14" s="9">
        <v>64.15</v>
      </c>
      <c r="FK14" s="9">
        <v>64.35</v>
      </c>
      <c r="FL14" s="9">
        <v>64.6</v>
      </c>
      <c r="FM14" s="9">
        <v>64.85</v>
      </c>
      <c r="FN14" s="9">
        <v>65.05</v>
      </c>
      <c r="FO14" s="9">
        <v>65.2</v>
      </c>
      <c r="FP14" s="9">
        <v>65.45</v>
      </c>
      <c r="FQ14" s="9">
        <v>65.7</v>
      </c>
      <c r="FR14" s="9">
        <v>65.95</v>
      </c>
      <c r="FS14" s="9">
        <v>66.15</v>
      </c>
      <c r="FT14" s="9">
        <v>66</v>
      </c>
      <c r="FU14" s="9">
        <v>66.3</v>
      </c>
      <c r="FV14" s="9">
        <v>66.5</v>
      </c>
      <c r="FW14" s="9">
        <v>66.75</v>
      </c>
      <c r="FX14" s="9">
        <v>66.9</v>
      </c>
      <c r="FY14" s="9">
        <v>67.15</v>
      </c>
      <c r="FZ14" s="9">
        <v>67.15</v>
      </c>
      <c r="GA14" s="9">
        <v>66.9</v>
      </c>
      <c r="GB14" s="9">
        <v>66.75</v>
      </c>
      <c r="GC14" s="9">
        <v>67</v>
      </c>
      <c r="GD14" s="9">
        <v>67.2</v>
      </c>
      <c r="GE14" s="9">
        <v>67.45</v>
      </c>
      <c r="GF14" s="9">
        <v>67.7</v>
      </c>
      <c r="GG14" s="9">
        <v>67.95</v>
      </c>
      <c r="GH14" s="9">
        <v>67.65</v>
      </c>
      <c r="GI14" s="9">
        <v>67.8</v>
      </c>
      <c r="GJ14" s="9">
        <v>68.1</v>
      </c>
      <c r="GK14" s="9">
        <v>68.3</v>
      </c>
      <c r="GL14" s="9">
        <v>68.45</v>
      </c>
      <c r="GM14" s="9">
        <v>68.6</v>
      </c>
      <c r="GN14" s="9">
        <v>68.9</v>
      </c>
      <c r="GO14" s="9">
        <v>68.1</v>
      </c>
      <c r="GP14" s="9">
        <v>68.7</v>
      </c>
      <c r="GQ14" s="9">
        <v>68.95</v>
      </c>
      <c r="GR14" s="9">
        <v>69.2</v>
      </c>
      <c r="GS14" s="9">
        <v>69.35</v>
      </c>
      <c r="GT14" s="9">
        <v>67.1</v>
      </c>
      <c r="GU14" s="9">
        <v>68.85</v>
      </c>
      <c r="GV14" s="9">
        <v>69.15</v>
      </c>
      <c r="GW14" s="9">
        <v>69.4</v>
      </c>
      <c r="GX14" s="9">
        <v>69.4</v>
      </c>
      <c r="GY14" s="9">
        <v>69.65</v>
      </c>
      <c r="GZ14" s="9">
        <v>69.8</v>
      </c>
      <c r="HA14" s="9">
        <v>69.5</v>
      </c>
      <c r="HB14" s="9">
        <v>69.7</v>
      </c>
      <c r="HC14" s="9">
        <v>69.9</v>
      </c>
      <c r="HD14" s="9">
        <v>70.15</v>
      </c>
      <c r="HE14" s="9">
        <v>70.3</v>
      </c>
      <c r="HF14" s="9">
        <v>70.45</v>
      </c>
      <c r="HG14" s="9">
        <v>70.6</v>
      </c>
      <c r="HH14" s="9">
        <v>70.85</v>
      </c>
      <c r="HI14" s="9">
        <v>71.1</v>
      </c>
      <c r="HJ14" s="9">
        <v>71.15</v>
      </c>
      <c r="HK14" s="9">
        <v>71.3</v>
      </c>
      <c r="HL14" s="9">
        <v>71.5</v>
      </c>
      <c r="HM14" s="9">
        <v>71.75</v>
      </c>
      <c r="HN14" s="9">
        <v>71.6</v>
      </c>
      <c r="HO14" s="9">
        <v>71.85</v>
      </c>
      <c r="HP14" s="9">
        <v>72</v>
      </c>
      <c r="HQ14" s="9">
        <v>71.9</v>
      </c>
      <c r="HR14" s="9">
        <v>72.15</v>
      </c>
      <c r="HS14" s="9">
        <v>72.25</v>
      </c>
      <c r="HT14" s="9">
        <v>72.4</v>
      </c>
      <c r="HU14" s="9">
        <v>72.5</v>
      </c>
      <c r="HV14" s="9">
        <v>72.35</v>
      </c>
      <c r="HW14" s="9">
        <v>72.2</v>
      </c>
      <c r="HX14" s="9">
        <v>72.05</v>
      </c>
      <c r="HY14" s="9">
        <v>71.85</v>
      </c>
      <c r="HZ14" s="9">
        <v>71.6</v>
      </c>
      <c r="IA14" s="9">
        <v>71.4</v>
      </c>
      <c r="IB14" s="9">
        <v>71.25</v>
      </c>
      <c r="IC14" s="9">
        <v>70.95</v>
      </c>
      <c r="ID14" s="9">
        <v>70.7</v>
      </c>
      <c r="IE14" s="9">
        <v>70.45</v>
      </c>
      <c r="IF14" s="9">
        <v>69.8</v>
      </c>
      <c r="IG14" s="9">
        <v>68.15</v>
      </c>
      <c r="IH14" s="9">
        <v>67.8</v>
      </c>
      <c r="II14" s="9">
        <v>67.55</v>
      </c>
      <c r="IJ14" s="9">
        <v>67.1</v>
      </c>
      <c r="IK14" s="9">
        <v>66.85</v>
      </c>
      <c r="IL14" s="9">
        <v>66.4</v>
      </c>
      <c r="IM14" s="9">
        <v>65.9</v>
      </c>
      <c r="IN14" s="9">
        <v>65.65</v>
      </c>
      <c r="IO14" s="9">
        <v>65.2</v>
      </c>
      <c r="IP14" s="9">
        <v>64.85</v>
      </c>
      <c r="IQ14" s="9">
        <v>64.6</v>
      </c>
      <c r="IR14" s="9">
        <v>61.9</v>
      </c>
      <c r="IS14" s="9">
        <v>62.8</v>
      </c>
      <c r="IT14" s="9">
        <v>62.6</v>
      </c>
      <c r="IU14" s="9">
        <v>61.95</v>
      </c>
      <c r="IV14" s="9">
        <v>61.4</v>
      </c>
      <c r="IW14" s="9">
        <v>61.75</v>
      </c>
      <c r="IX14" s="9">
        <v>60.9</v>
      </c>
      <c r="IY14" s="9">
        <v>61.15</v>
      </c>
      <c r="IZ14" s="9">
        <v>60.8</v>
      </c>
      <c r="JA14" s="9">
        <v>61.35</v>
      </c>
      <c r="JB14" s="9">
        <v>61.6</v>
      </c>
      <c r="JC14" s="9">
        <v>61.2</v>
      </c>
      <c r="JD14" s="9">
        <v>60.95</v>
      </c>
      <c r="JE14" s="9">
        <v>60.4</v>
      </c>
      <c r="JF14" s="9">
        <v>61.65</v>
      </c>
      <c r="JG14" s="9">
        <v>61.2</v>
      </c>
      <c r="JH14" s="9">
        <v>60.9</v>
      </c>
      <c r="JI14" s="9">
        <v>61.55</v>
      </c>
      <c r="JJ14" s="9">
        <v>60.2</v>
      </c>
      <c r="JK14" s="9">
        <v>61.8</v>
      </c>
      <c r="JL14" s="9">
        <v>62.15</v>
      </c>
      <c r="JM14" s="9">
        <v>62.4</v>
      </c>
      <c r="JN14" s="9">
        <v>62.65</v>
      </c>
      <c r="JO14" s="9">
        <v>62.3</v>
      </c>
      <c r="JP14" s="9">
        <v>62.9</v>
      </c>
      <c r="JQ14" s="9">
        <v>63.15</v>
      </c>
      <c r="JR14" s="9">
        <v>63.35</v>
      </c>
      <c r="JS14" s="9">
        <v>63.05</v>
      </c>
      <c r="JT14" s="9">
        <v>62.8</v>
      </c>
      <c r="JU14" s="9">
        <v>63.1</v>
      </c>
      <c r="JV14" s="9">
        <v>63.25</v>
      </c>
      <c r="JW14" s="9">
        <v>61.5</v>
      </c>
      <c r="JX14" s="9">
        <v>62.4</v>
      </c>
      <c r="JY14" s="9">
        <v>62.75</v>
      </c>
      <c r="JZ14" s="9">
        <v>63</v>
      </c>
      <c r="KA14" s="9">
        <v>61.85</v>
      </c>
      <c r="KB14" s="9">
        <v>63.2</v>
      </c>
      <c r="KC14" s="9">
        <v>63.45</v>
      </c>
      <c r="KD14" s="9">
        <v>63.6</v>
      </c>
      <c r="KE14" s="9">
        <v>63.35</v>
      </c>
      <c r="KF14" s="9">
        <v>63.1</v>
      </c>
      <c r="KG14" s="9">
        <v>63.55</v>
      </c>
      <c r="KH14" s="9">
        <v>63.8</v>
      </c>
      <c r="KI14" s="9">
        <v>64.15</v>
      </c>
      <c r="KJ14" s="9">
        <v>64.3</v>
      </c>
      <c r="KK14" s="9">
        <v>64.05</v>
      </c>
      <c r="KL14" s="9">
        <v>64.45</v>
      </c>
      <c r="KM14" s="9">
        <v>64.7</v>
      </c>
      <c r="KN14" s="9">
        <v>64.95</v>
      </c>
      <c r="KO14" s="9">
        <v>65.2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A17" sqref="A17"/>
    </sheetView>
  </sheetViews>
  <sheetFormatPr defaultColWidth="9" defaultRowHeight="13.5"/>
  <sheetData>
    <row r="1" ht="15.75" spans="1:13">
      <c r="A1" s="6" t="s">
        <v>2142</v>
      </c>
      <c r="B1" s="3">
        <v>46023</v>
      </c>
      <c r="C1" s="3">
        <v>46054</v>
      </c>
      <c r="D1" s="3">
        <v>46082</v>
      </c>
      <c r="E1" s="3">
        <v>46113</v>
      </c>
      <c r="F1" s="3">
        <v>46143</v>
      </c>
      <c r="G1" s="3">
        <v>46174</v>
      </c>
      <c r="H1" s="3">
        <v>46204</v>
      </c>
      <c r="I1" s="3">
        <v>46235</v>
      </c>
      <c r="J1" s="3">
        <v>46266</v>
      </c>
      <c r="K1" s="3">
        <v>46296</v>
      </c>
      <c r="L1" s="3">
        <v>46327</v>
      </c>
      <c r="M1" s="3">
        <v>46357</v>
      </c>
    </row>
    <row r="2" ht="15.75" spans="1:13">
      <c r="A2" s="6" t="s">
        <v>2455</v>
      </c>
      <c r="B2" s="4">
        <v>2.12</v>
      </c>
      <c r="C2" s="4">
        <v>2.25</v>
      </c>
      <c r="D2" s="4">
        <v>2.58</v>
      </c>
      <c r="E2" s="4">
        <v>2.92</v>
      </c>
      <c r="F2" s="4">
        <v>3.25</v>
      </c>
      <c r="G2" s="4">
        <v>3.68</v>
      </c>
      <c r="H2" s="6">
        <v>3.95</v>
      </c>
      <c r="I2" s="4">
        <v>3.62</v>
      </c>
      <c r="J2" s="4">
        <v>3.12</v>
      </c>
      <c r="K2" s="4">
        <v>2.85</v>
      </c>
      <c r="L2" s="4">
        <v>2.52</v>
      </c>
      <c r="M2" s="4">
        <v>2.35</v>
      </c>
    </row>
    <row r="3" ht="15.75" spans="1:13">
      <c r="A3" s="6" t="s">
        <v>2456</v>
      </c>
      <c r="B3" s="4">
        <v>2.85</v>
      </c>
      <c r="C3" s="4">
        <v>2.98</v>
      </c>
      <c r="D3" s="4">
        <v>3.42</v>
      </c>
      <c r="E3" s="4">
        <v>3.95</v>
      </c>
      <c r="F3" s="4">
        <v>4.58</v>
      </c>
      <c r="G3" s="4">
        <v>5.25</v>
      </c>
      <c r="H3" s="6">
        <v>5.85</v>
      </c>
      <c r="I3" s="4">
        <v>5.22</v>
      </c>
      <c r="J3" s="4">
        <v>4.45</v>
      </c>
      <c r="K3" s="4">
        <v>3.92</v>
      </c>
      <c r="L3" s="4">
        <v>3.45</v>
      </c>
      <c r="M3" s="4">
        <v>3.12</v>
      </c>
    </row>
    <row r="4" ht="15.75" spans="1:13">
      <c r="A4" s="6" t="s">
        <v>2457</v>
      </c>
      <c r="B4" s="4">
        <v>3.55</v>
      </c>
      <c r="C4" s="4">
        <v>3.72</v>
      </c>
      <c r="D4" s="4">
        <v>4.25</v>
      </c>
      <c r="E4" s="4">
        <v>4.95</v>
      </c>
      <c r="F4" s="4">
        <v>5.85</v>
      </c>
      <c r="G4" s="4">
        <v>6.82</v>
      </c>
      <c r="H4" s="6">
        <v>7.52</v>
      </c>
      <c r="I4" s="4">
        <v>6.65</v>
      </c>
      <c r="J4" s="4">
        <v>5.62</v>
      </c>
      <c r="K4" s="4">
        <v>4.98</v>
      </c>
      <c r="L4" s="4">
        <v>4.35</v>
      </c>
      <c r="M4" s="4">
        <v>3.95</v>
      </c>
    </row>
    <row r="5" ht="15.75" spans="1:13">
      <c r="A5" s="6" t="s">
        <v>2458</v>
      </c>
      <c r="B5" s="4">
        <v>4.12</v>
      </c>
      <c r="C5" s="4">
        <v>4.35</v>
      </c>
      <c r="D5" s="4">
        <v>4.95</v>
      </c>
      <c r="E5" s="4">
        <v>5.82</v>
      </c>
      <c r="F5" s="4">
        <v>6.92</v>
      </c>
      <c r="G5" s="4">
        <v>8.15</v>
      </c>
      <c r="H5" s="6">
        <v>9.25</v>
      </c>
      <c r="I5" s="4">
        <v>8.12</v>
      </c>
      <c r="J5" s="4">
        <v>6.85</v>
      </c>
      <c r="K5" s="4">
        <v>5.95</v>
      </c>
      <c r="L5" s="4">
        <v>5.12</v>
      </c>
      <c r="M5" s="4">
        <v>4.65</v>
      </c>
    </row>
    <row r="6" ht="15.75" spans="1:13">
      <c r="A6" s="6" t="s">
        <v>2459</v>
      </c>
      <c r="B6" s="4">
        <v>4.35</v>
      </c>
      <c r="C6" s="4">
        <v>4.52</v>
      </c>
      <c r="D6" s="4">
        <v>5.12</v>
      </c>
      <c r="E6" s="4">
        <v>6.15</v>
      </c>
      <c r="F6" s="4">
        <v>7.35</v>
      </c>
      <c r="G6" s="4">
        <v>8.65</v>
      </c>
      <c r="H6" s="6">
        <v>9.85</v>
      </c>
      <c r="I6" s="4">
        <v>8.58</v>
      </c>
      <c r="J6" s="4">
        <v>7.22</v>
      </c>
      <c r="K6" s="4">
        <v>6.25</v>
      </c>
      <c r="L6" s="4">
        <v>5.35</v>
      </c>
      <c r="M6" s="4">
        <v>4.82</v>
      </c>
    </row>
    <row r="7" ht="15.75" spans="1:13">
      <c r="A7" s="6" t="s">
        <v>2460</v>
      </c>
      <c r="B7" s="4">
        <v>4.22</v>
      </c>
      <c r="C7" s="4">
        <v>4.38</v>
      </c>
      <c r="D7" s="4">
        <v>4.98</v>
      </c>
      <c r="E7" s="4">
        <v>5.92</v>
      </c>
      <c r="F7" s="4">
        <v>7.05</v>
      </c>
      <c r="G7" s="4">
        <v>8.32</v>
      </c>
      <c r="H7" s="6">
        <v>9.42</v>
      </c>
      <c r="I7" s="4">
        <v>8.25</v>
      </c>
      <c r="J7" s="4">
        <v>6.95</v>
      </c>
      <c r="K7" s="4">
        <v>6.05</v>
      </c>
      <c r="L7" s="4">
        <v>5.15</v>
      </c>
      <c r="M7" s="4">
        <v>4.68</v>
      </c>
    </row>
    <row r="8" ht="15.75" spans="1:13">
      <c r="A8" s="6" t="s">
        <v>2461</v>
      </c>
      <c r="B8" s="4">
        <v>4.05</v>
      </c>
      <c r="C8" s="4">
        <v>4.18</v>
      </c>
      <c r="D8" s="4">
        <v>4.75</v>
      </c>
      <c r="E8" s="4">
        <v>5.65</v>
      </c>
      <c r="F8" s="4">
        <v>6.72</v>
      </c>
      <c r="G8" s="4">
        <v>7.95</v>
      </c>
      <c r="H8" s="6">
        <v>8.95</v>
      </c>
      <c r="I8" s="4">
        <v>7.85</v>
      </c>
      <c r="J8" s="4">
        <v>6.62</v>
      </c>
      <c r="K8" s="4">
        <v>5.72</v>
      </c>
      <c r="L8" s="4">
        <v>4.88</v>
      </c>
      <c r="M8" s="4">
        <v>4.45</v>
      </c>
    </row>
    <row r="9" ht="15.75" spans="1:13">
      <c r="A9" s="6" t="s">
        <v>2462</v>
      </c>
      <c r="B9" s="4">
        <v>3.82</v>
      </c>
      <c r="C9" s="4">
        <v>3.95</v>
      </c>
      <c r="D9" s="4">
        <v>4.52</v>
      </c>
      <c r="E9" s="4">
        <v>5.35</v>
      </c>
      <c r="F9" s="4">
        <v>6.38</v>
      </c>
      <c r="G9" s="4">
        <v>7.52</v>
      </c>
      <c r="H9" s="6">
        <v>8.52</v>
      </c>
      <c r="I9" s="4">
        <v>7.42</v>
      </c>
      <c r="J9" s="4">
        <v>6.25</v>
      </c>
      <c r="K9" s="4">
        <v>5.45</v>
      </c>
      <c r="L9" s="4">
        <v>4.58</v>
      </c>
      <c r="M9" s="4">
        <v>4.15</v>
      </c>
    </row>
    <row r="10" ht="84.75" spans="1:13">
      <c r="A10" s="6" t="s">
        <v>2463</v>
      </c>
      <c r="B10" s="4" t="s">
        <v>2464</v>
      </c>
      <c r="C10" s="4" t="s">
        <v>2465</v>
      </c>
      <c r="D10" s="6" t="s">
        <v>2466</v>
      </c>
      <c r="E10" s="4" t="s">
        <v>2467</v>
      </c>
      <c r="F10" s="4" t="s">
        <v>2468</v>
      </c>
      <c r="G10" s="4" t="s">
        <v>2469</v>
      </c>
      <c r="H10" s="6" t="s">
        <v>2470</v>
      </c>
      <c r="I10" s="4" t="s">
        <v>2471</v>
      </c>
      <c r="J10" s="4" t="s">
        <v>2472</v>
      </c>
      <c r="K10" s="6" t="s">
        <v>2473</v>
      </c>
      <c r="L10" s="4" t="s">
        <v>2474</v>
      </c>
      <c r="M10" s="4" t="s">
        <v>2475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7" sqref="D7"/>
    </sheetView>
  </sheetViews>
  <sheetFormatPr defaultColWidth="9" defaultRowHeight="20" customHeight="1" outlineLevelCol="3"/>
  <cols>
    <col min="4" max="4" width="28.125" customWidth="1"/>
  </cols>
  <sheetData>
    <row r="1" customHeight="1" spans="1:4">
      <c r="A1" s="1" t="s">
        <v>2476</v>
      </c>
      <c r="B1" s="1"/>
      <c r="C1" s="1"/>
      <c r="D1" s="1"/>
    </row>
    <row r="2" customHeight="1" spans="1:4">
      <c r="A2" s="2" t="s">
        <v>2142</v>
      </c>
      <c r="B2" s="2" t="s">
        <v>2477</v>
      </c>
      <c r="C2" s="2" t="s">
        <v>2478</v>
      </c>
      <c r="D2" s="2" t="s">
        <v>2129</v>
      </c>
    </row>
    <row r="3" ht="46" customHeight="1" spans="1:4">
      <c r="A3" s="3">
        <v>46204</v>
      </c>
      <c r="B3" s="4">
        <v>9.72</v>
      </c>
      <c r="C3" s="5">
        <v>24520</v>
      </c>
      <c r="D3" s="6" t="s">
        <v>2479</v>
      </c>
    </row>
    <row r="4" customHeight="1" spans="1:4">
      <c r="A4" s="3">
        <v>46208</v>
      </c>
      <c r="B4" s="4">
        <v>9.78</v>
      </c>
      <c r="C4" s="5">
        <v>24480</v>
      </c>
      <c r="D4" s="4" t="s">
        <v>2480</v>
      </c>
    </row>
    <row r="5" ht="39" customHeight="1" spans="1:4">
      <c r="A5" s="3">
        <v>46213</v>
      </c>
      <c r="B5" s="6">
        <v>9.85</v>
      </c>
      <c r="C5" s="5">
        <v>24350</v>
      </c>
      <c r="D5" s="6" t="s">
        <v>2481</v>
      </c>
    </row>
    <row r="6" ht="41" customHeight="1" spans="1:4">
      <c r="A6" s="3">
        <v>46217</v>
      </c>
      <c r="B6" s="4">
        <v>9.75</v>
      </c>
      <c r="C6" s="5">
        <v>24610</v>
      </c>
      <c r="D6" s="6" t="s">
        <v>2482</v>
      </c>
    </row>
    <row r="7" ht="36" customHeight="1" spans="1:4">
      <c r="A7" s="3">
        <v>46221</v>
      </c>
      <c r="B7" s="6">
        <v>9.92</v>
      </c>
      <c r="C7" s="5">
        <v>24210</v>
      </c>
      <c r="D7" s="6" t="s">
        <v>2483</v>
      </c>
    </row>
    <row r="8" ht="45" customHeight="1" spans="1:4">
      <c r="A8" s="3">
        <v>46225</v>
      </c>
      <c r="B8" s="4">
        <v>9.88</v>
      </c>
      <c r="C8" s="5">
        <v>24380</v>
      </c>
      <c r="D8" s="4" t="s">
        <v>2484</v>
      </c>
    </row>
    <row r="9" ht="37" customHeight="1" spans="1:4">
      <c r="A9" s="3">
        <v>46229</v>
      </c>
      <c r="B9" s="6">
        <v>9.95</v>
      </c>
      <c r="C9" s="5">
        <v>24150</v>
      </c>
      <c r="D9" s="6" t="s">
        <v>2485</v>
      </c>
    </row>
    <row r="10" ht="37" customHeight="1" spans="1:4">
      <c r="A10" s="3">
        <v>46234</v>
      </c>
      <c r="B10" s="4">
        <v>9.65</v>
      </c>
      <c r="C10" s="5">
        <v>24550</v>
      </c>
      <c r="D10" s="4" t="s">
        <v>2486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底表</vt:lpstr>
      <vt:lpstr>2025年月氢氧原子浓度</vt:lpstr>
      <vt:lpstr>分析</vt:lpstr>
      <vt:lpstr>2025年不同距离氢浓度数据</vt:lpstr>
      <vt:lpstr>2025年7月氢浓度与地磁数据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Goston/郭世栋</dc:creator>
  <cp:lastModifiedBy>Dandelion</cp:lastModifiedBy>
  <dcterms:created xsi:type="dcterms:W3CDTF">2026-04-14T02:38:00Z</dcterms:created>
  <dcterms:modified xsi:type="dcterms:W3CDTF">2026-04-18T06:45:30Z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B66B4981260F443489A9F7F91ED63969_11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